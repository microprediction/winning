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928bdbed4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2270408464524e2c"/>
    <x:sheet xmlns:r="http://schemas.openxmlformats.org/officeDocument/2006/relationships" name="Laureates" sheetId="2" r:id="Ra2751a5697a7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2">
    <x:font>
      <x:sz val="11"/>
      <x:name val="Carlito"/>
    </x:font>
    <x:font>
      <x:sz val="11"/>
      <x:color rgb="FF202B3A"/>
      <x:name val="Arial"/>
    </x:font>
    <x:font>
      <x:b/>
      <x:sz val="16"/>
      <x:color rgb="FF243247"/>
      <x:name val="Arial"/>
    </x:font>
    <x:font>
      <x:i/>
      <x:sz val="11"/>
      <x:color rgb="FF586579"/>
      <x:name val="Arial"/>
    </x:font>
    <x:font>
      <x:i/>
      <x:sz val="10"/>
      <x:color rgb="FF586579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  <x:font>
      <x:b/>
      <x:sz val="11"/>
      <x:color rgb="FF202B3A"/>
      <x:name val="Arial"/>
    </x:font>
    <x:font>
      <x:b/>
      <x:sz val="14"/>
      <x:color rgb="FF243247"/>
      <x:name val="Arial"/>
    </x:font>
    <x:font>
      <x:sz val="10"/>
      <x:color rgb="FF586579"/>
      <x:name val="Arial"/>
    </x:font>
    <x:font>
      <x:sz val="10"/>
      <x:color rgb="FF263246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247"/>
      </x:patternFill>
    </x:fill>
    <x:fill>
      <x:patternFill patternType="solid">
        <x:fgColor rgb="FFF3F5F8"/>
      </x:patternFill>
    </x:fill>
    <x:fill>
      <x:patternFill patternType="solid">
        <x:fgColor rgb="FFE6EBF2"/>
      </x:patternFill>
    </x:fill>
    <x:fill>
      <x:patternFill patternType="solid">
        <x:fgColor rgb="FFFFF4D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9D0DC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/>
    <x:xf numFmtId="200" fontId="10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224F3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5b04b5c4c4ec6" /><Relationship Type="http://schemas.openxmlformats.org/officeDocument/2006/relationships/theme" Target="/xl/theme/theme1.xml" Id="R8b5c2631294347de" /><Relationship Type="http://schemas.openxmlformats.org/officeDocument/2006/relationships/sharedStrings" Target="/xl/sharedStrings.xml" Id="Raefc4a7a8e13499c" /><Relationship Type="http://schemas.openxmlformats.org/officeDocument/2006/relationships/worksheet" Target="/xl/worksheets/sheet1.xml" Id="R2270408464524e2c" /><Relationship Type="http://schemas.openxmlformats.org/officeDocument/2006/relationships/worksheet" Target="/xl/worksheets/sheet2.xml" Id="Ra2751a5697a74653" /></Relationships>
</file>

<file path=xl/tables/table1.xml><?xml version="1.0" encoding="utf-8"?>
<x:table xmlns:x="http://schemas.openxmlformats.org/spreadsheetml/2006/main" id="1" name="LaureateCoding" displayName="LaureateCoding" ref="A1:H1194" headerRowCount="1" totalsRowCount="0" totalsRowShown="0">
  <x:autoFilter ref="A1:H1194"/>
  <x:tableColumns count="8">
    <x:tableColumn id="1" name="Prize"/>
    <x:tableColumn id="2" name="Laureate"/>
    <x:tableColumn id="3" name="First award"/>
    <x:tableColumn id="4" name="Award years"/>
    <x:tableColumn id="5" name="Recipient type"/>
    <x:tableColumn id="6" name="Coding"/>
    <x:tableColumn id="7" name="Reason for judgment"/>
    <x:tableColumn id="8" name="Roster sourc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01427f1f584c09" /></Relationships>
</file>

<file path=xl/worksheets/sheet1.xml><?xml version="1.0" encoding="utf-8"?>
<x:worksheet xmlns:x="http://schemas.openxmlformats.org/spreadsheetml/2006/main">
  <x:sheetPr>
    <x:tabColor rgb="FF243247"/>
  </x:sheetPr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5" hidden="0" customWidth="1"/>
    <x:col min="5" max="5" width="14" hidden="0" customWidth="1"/>
    <x:col min="6" max="6" width="20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Genius among major-prize laureates</x:v>
      </x:c>
      <x:c r="B2" s="2"/>
      <x:c r="C2" s="2"/>
      <x:c r="D2" s="2"/>
      <x:c r="E2" s="2"/>
      <x:c r="F2" s="2"/>
      <x:c r="G2" s="2"/>
    </x:row>
    <x:row r="3">
      <x:c r="A3" s="4" t="str">
        <x:v>Benchmark: enduring individual originality on the Feynman / Nash scale.</x:v>
      </x:c>
      <x:c r="B3" s="2"/>
      <x:c r="C3" s="2"/>
      <x:c r="D3" s="2"/>
      <x:c r="E3" s="2"/>
      <x:c r="F3" s="2"/>
      <x:c r="G3" s="2"/>
    </x:row>
    <x:row r="4">
      <x:c r="A4" s="5" t="str">
        <x:v>Award years through 2025. Fields through 2022. Judgments as of October 11, 2026.</x:v>
      </x:c>
      <x:c r="B4" s="2"/>
      <x:c r="C4" s="2"/>
      <x:c r="D4" s="2"/>
      <x:c r="E4" s="2"/>
      <x:c r="F4" s="2"/>
      <x:c r="G4" s="2"/>
    </x:row>
    <x:row r="5">
      <x:c r="A5" s="6"/>
      <x:c r="B5" s="6"/>
      <x:c r="C5" s="6"/>
      <x:c r="D5" s="6"/>
      <x:c r="E5" s="6"/>
      <x:c r="F5" s="6"/>
      <x:c r="G5" s="6"/>
    </x:row>
    <x:row r="6" ht="32" customHeight="1">
      <x:c r="A6" s="10" t="str">
        <x:v>Prize</x:v>
      </x:c>
      <x:c r="B6" s="10" t="str">
        <x:v>People</x:v>
      </x:c>
      <x:c r="C6" s="10" t="str">
        <x:v>Clear</x:v>
      </x:c>
      <x:c r="D6" s="10" t="str">
        <x:v>Clear share</x:v>
      </x:c>
      <x:c r="E6" s="10" t="str">
        <x:v>Borderline</x:v>
      </x:c>
      <x:c r="F6" s="10" t="str">
        <x:v>Clear + borderline</x:v>
      </x:c>
      <x:c r="G6" s="10" t="str">
        <x:v>Inclusive share</x:v>
      </x:c>
    </x:row>
    <x:row r="7" ht="29" customHeight="1">
      <x:c r="A7" s="2" t="str">
        <x:v>Abel</x:v>
      </x:c>
      <x:c r="B7" s="13" t="n">
        <x:f>COUNTIFS('Laureates'!$A$2:$A$1194,A7,'Laureates'!$E$2:$E$1194,"Person")</x:f>
        <x:v>28</x:v>
      </x:c>
      <x:c r="C7" s="13" t="n">
        <x:f>COUNTIFS('Laureates'!$A$2:$A$1194,A7,'Laureates'!$E$2:$E$1194,"Person",'Laureates'!$F$2:$F$1194,"Clear")</x:f>
        <x:v>24</x:v>
      </x:c>
      <x:c r="D7" s="15" t="n">
        <x:f>C7/B7</x:f>
        <x:v>0.8571428571428571</x:v>
      </x:c>
      <x:c r="E7" s="13" t="n">
        <x:f>COUNTIFS('Laureates'!$A$2:$A$1194,A7,'Laureates'!$E$2:$E$1194,"Person",'Laureates'!$F$2:$F$1194,"Borderline")</x:f>
        <x:v>4</x:v>
      </x:c>
      <x:c r="F7" s="13" t="n">
        <x:f>C7+E7</x:f>
        <x:v>28</x:v>
      </x:c>
      <x:c r="G7" s="14" t="n">
        <x:f>F7/B7</x:f>
        <x:v>1</x:v>
      </x:c>
    </x:row>
    <x:row r="8" ht="29" customHeight="1">
      <x:c r="A8" s="16" t="str">
        <x:v>Fields</x:v>
      </x:c>
      <x:c r="B8" s="17" t="n">
        <x:f>COUNTIFS('Laureates'!$A$2:$A$1194,A8,'Laureates'!$E$2:$E$1194,"Person")</x:f>
        <x:v>64</x:v>
      </x:c>
      <x:c r="C8" s="17" t="n">
        <x:f>COUNTIFS('Laureates'!$A$2:$A$1194,A8,'Laureates'!$E$2:$E$1194,"Person",'Laureates'!$F$2:$F$1194,"Clear")</x:f>
        <x:v>38</x:v>
      </x:c>
      <x:c r="D8" s="18" t="n">
        <x:f>C8/B8</x:f>
        <x:v>0.59375</x:v>
      </x:c>
      <x:c r="E8" s="17" t="n">
        <x:f>COUNTIFS('Laureates'!$A$2:$A$1194,A8,'Laureates'!$E$2:$E$1194,"Person",'Laureates'!$F$2:$F$1194,"Borderline")</x:f>
        <x:v>26</x:v>
      </x:c>
      <x:c r="F8" s="17" t="n">
        <x:f>C8+E8</x:f>
        <x:v>64</x:v>
      </x:c>
      <x:c r="G8" s="19" t="n">
        <x:f>F8/B8</x:f>
        <x:v>1</x:v>
      </x:c>
    </x:row>
    <x:row r="9" ht="29" customHeight="1">
      <x:c r="A9" s="2" t="str">
        <x:v>Turing</x:v>
      </x:c>
      <x:c r="B9" s="13" t="n">
        <x:f>COUNTIFS('Laureates'!$A$2:$A$1194,A9,'Laureates'!$E$2:$E$1194,"Person")</x:f>
        <x:v>81</x:v>
      </x:c>
      <x:c r="C9" s="13" t="n">
        <x:f>COUNTIFS('Laureates'!$A$2:$A$1194,A9,'Laureates'!$E$2:$E$1194,"Person",'Laureates'!$F$2:$F$1194,"Clear")</x:f>
        <x:v>38</x:v>
      </x:c>
      <x:c r="D9" s="15" t="n">
        <x:f>C9/B9</x:f>
        <x:v>0.4691358024691358</x:v>
      </x:c>
      <x:c r="E9" s="13" t="n">
        <x:f>COUNTIFS('Laureates'!$A$2:$A$1194,A9,'Laureates'!$E$2:$E$1194,"Person",'Laureates'!$F$2:$F$1194,"Borderline")</x:f>
        <x:v>21</x:v>
      </x:c>
      <x:c r="F9" s="13" t="n">
        <x:f>C9+E9</x:f>
        <x:v>59</x:v>
      </x:c>
      <x:c r="G9" s="14" t="n">
        <x:f>F9/B9</x:f>
        <x:v>0.7283950617283951</x:v>
      </x:c>
    </x:row>
    <x:row r="10" ht="29" customHeight="1">
      <x:c r="A10" s="16" t="str">
        <x:v>Physics</x:v>
      </x:c>
      <x:c r="B10" s="17" t="n">
        <x:f>COUNTIFS('Laureates'!$A$2:$A$1194,A10,'Laureates'!$E$2:$E$1194,"Person")</x:f>
        <x:v>229</x:v>
      </x:c>
      <x:c r="C10" s="17" t="n">
        <x:f>COUNTIFS('Laureates'!$A$2:$A$1194,A10,'Laureates'!$E$2:$E$1194,"Person",'Laureates'!$F$2:$F$1194,"Clear")</x:f>
        <x:v>38</x:v>
      </x:c>
      <x:c r="D10" s="18" t="n">
        <x:f>C10/B10</x:f>
        <x:v>0.16593886462882096</x:v>
      </x:c>
      <x:c r="E10" s="17" t="n">
        <x:f>COUNTIFS('Laureates'!$A$2:$A$1194,A10,'Laureates'!$E$2:$E$1194,"Person",'Laureates'!$F$2:$F$1194,"Borderline")</x:f>
        <x:v>40</x:v>
      </x:c>
      <x:c r="F10" s="17" t="n">
        <x:f>C10+E10</x:f>
        <x:v>78</x:v>
      </x:c>
      <x:c r="G10" s="19" t="n">
        <x:f>F10/B10</x:f>
        <x:v>0.3406113537117904</x:v>
      </x:c>
    </x:row>
    <x:row r="11" ht="29" customHeight="1">
      <x:c r="A11" s="2" t="str">
        <x:v>Chemistry</x:v>
      </x:c>
      <x:c r="B11" s="13" t="n">
        <x:f>COUNTIFS('Laureates'!$A$2:$A$1194,A11,'Laureates'!$E$2:$E$1194,"Person")</x:f>
        <x:v>198</x:v>
      </x:c>
      <x:c r="C11" s="13" t="n">
        <x:f>COUNTIFS('Laureates'!$A$2:$A$1194,A11,'Laureates'!$E$2:$E$1194,"Person",'Laureates'!$F$2:$F$1194,"Clear")</x:f>
        <x:v>24</x:v>
      </x:c>
      <x:c r="D11" s="15" t="n">
        <x:f>C11/B11</x:f>
        <x:v>0.12121212121212122</x:v>
      </x:c>
      <x:c r="E11" s="13" t="n">
        <x:f>COUNTIFS('Laureates'!$A$2:$A$1194,A11,'Laureates'!$E$2:$E$1194,"Person",'Laureates'!$F$2:$F$1194,"Borderline")</x:f>
        <x:v>31</x:v>
      </x:c>
      <x:c r="F11" s="13" t="n">
        <x:f>C11+E11</x:f>
        <x:v>55</x:v>
      </x:c>
      <x:c r="G11" s="14" t="n">
        <x:f>F11/B11</x:f>
        <x:v>0.2777777777777778</x:v>
      </x:c>
    </x:row>
    <x:row r="12" ht="29" customHeight="1">
      <x:c r="A12" s="16" t="str">
        <x:v>Literature</x:v>
      </x:c>
      <x:c r="B12" s="17" t="n">
        <x:f>COUNTIFS('Laureates'!$A$2:$A$1194,A12,'Laureates'!$E$2:$E$1194,"Person")</x:f>
        <x:v>122</x:v>
      </x:c>
      <x:c r="C12" s="17" t="n">
        <x:f>COUNTIFS('Laureates'!$A$2:$A$1194,A12,'Laureates'!$E$2:$E$1194,"Person",'Laureates'!$F$2:$F$1194,"Clear")</x:f>
        <x:v>14</x:v>
      </x:c>
      <x:c r="D12" s="18" t="n">
        <x:f>C12/B12</x:f>
        <x:v>0.11475409836065574</x:v>
      </x:c>
      <x:c r="E12" s="17" t="n">
        <x:f>COUNTIFS('Laureates'!$A$2:$A$1194,A12,'Laureates'!$E$2:$E$1194,"Person",'Laureates'!$F$2:$F$1194,"Borderline")</x:f>
        <x:v>26</x:v>
      </x:c>
      <x:c r="F12" s="17" t="n">
        <x:f>C12+E12</x:f>
        <x:v>40</x:v>
      </x:c>
      <x:c r="G12" s="19" t="n">
        <x:f>F12/B12</x:f>
        <x:v>0.32786885245901637</x:v>
      </x:c>
    </x:row>
    <x:row r="13" ht="29" customHeight="1">
      <x:c r="A13" s="2" t="str">
        <x:v>Economics</x:v>
      </x:c>
      <x:c r="B13" s="13" t="n">
        <x:f>COUNTIFS('Laureates'!$A$2:$A$1194,A13,'Laureates'!$E$2:$E$1194,"Person")</x:f>
        <x:v>99</x:v>
      </x:c>
      <x:c r="C13" s="13" t="n">
        <x:f>COUNTIFS('Laureates'!$A$2:$A$1194,A13,'Laureates'!$E$2:$E$1194,"Person",'Laureates'!$F$2:$F$1194,"Clear")</x:f>
        <x:v>8</x:v>
      </x:c>
      <x:c r="D13" s="15" t="n">
        <x:f>C13/B13</x:f>
        <x:v>0.08080808080808081</x:v>
      </x:c>
      <x:c r="E13" s="13" t="n">
        <x:f>COUNTIFS('Laureates'!$A$2:$A$1194,A13,'Laureates'!$E$2:$E$1194,"Person",'Laureates'!$F$2:$F$1194,"Borderline")</x:f>
        <x:v>25</x:v>
      </x:c>
      <x:c r="F13" s="13" t="n">
        <x:f>C13+E13</x:f>
        <x:v>33</x:v>
      </x:c>
      <x:c r="G13" s="14" t="n">
        <x:f>F13/B13</x:f>
        <x:v>0.3333333333333333</x:v>
      </x:c>
    </x:row>
    <x:row r="14" ht="29" customHeight="1">
      <x:c r="A14" s="16" t="str">
        <x:v>Medicine</x:v>
      </x:c>
      <x:c r="B14" s="17" t="n">
        <x:f>COUNTIFS('Laureates'!$A$2:$A$1194,A14,'Laureates'!$E$2:$E$1194,"Person")</x:f>
        <x:v>232</x:v>
      </x:c>
      <x:c r="C14" s="17" t="n">
        <x:f>COUNTIFS('Laureates'!$A$2:$A$1194,A14,'Laureates'!$E$2:$E$1194,"Person",'Laureates'!$F$2:$F$1194,"Clear")</x:f>
        <x:v>16</x:v>
      </x:c>
      <x:c r="D14" s="18" t="n">
        <x:f>C14/B14</x:f>
        <x:v>0.06896551724137931</x:v>
      </x:c>
      <x:c r="E14" s="17" t="n">
        <x:f>COUNTIFS('Laureates'!$A$2:$A$1194,A14,'Laureates'!$E$2:$E$1194,"Person",'Laureates'!$F$2:$F$1194,"Borderline")</x:f>
        <x:v>30</x:v>
      </x:c>
      <x:c r="F14" s="17" t="n">
        <x:f>C14+E14</x:f>
        <x:v>46</x:v>
      </x:c>
      <x:c r="G14" s="19" t="n">
        <x:f>F14/B14</x:f>
        <x:v>0.19827586206896552</x:v>
      </x:c>
    </x:row>
    <x:row r="15" ht="29" customHeight="1">
      <x:c r="A15" s="2" t="str">
        <x:v>Peace</x:v>
      </x:c>
      <x:c r="B15" s="13" t="n">
        <x:f>COUNTIFS('Laureates'!$A$2:$A$1194,A15,'Laureates'!$E$2:$E$1194,"Person")</x:f>
        <x:v>112</x:v>
      </x:c>
      <x:c r="C15" s="13" t="n">
        <x:f>COUNTIFS('Laureates'!$A$2:$A$1194,A15,'Laureates'!$E$2:$E$1194,"Person",'Laureates'!$F$2:$F$1194,"Clear")</x:f>
        <x:v>2</x:v>
      </x:c>
      <x:c r="D15" s="15" t="n">
        <x:f>C15/B15</x:f>
        <x:v>0.017857142857142856</x:v>
      </x:c>
      <x:c r="E15" s="13" t="n">
        <x:f>COUNTIFS('Laureates'!$A$2:$A$1194,A15,'Laureates'!$E$2:$E$1194,"Person",'Laureates'!$F$2:$F$1194,"Borderline")</x:f>
        <x:v>4</x:v>
      </x:c>
      <x:c r="F15" s="13" t="n">
        <x:f>C15+E15</x:f>
        <x:v>6</x:v>
      </x:c>
      <x:c r="G15" s="14" t="n">
        <x:f>F15/B15</x:f>
        <x:v>0.05357142857142857</x:v>
      </x:c>
    </x:row>
    <x:row r="16">
      <x:c r="A16" s="2"/>
      <x:c r="B16" s="13"/>
      <x:c r="C16" s="13"/>
      <x:c r="D16" s="14"/>
      <x:c r="E16" s="13"/>
      <x:c r="F16" s="13"/>
      <x:c r="G16" s="14"/>
    </x:row>
    <x:row r="17" ht="29" customHeight="1">
      <x:c r="A17" s="23" t="str">
        <x:v>All six Nobels</x:v>
      </x:c>
      <x:c r="B17" s="24" t="n">
        <x:f>SUM(B10:B15)</x:f>
        <x:v>992</x:v>
      </x:c>
      <x:c r="C17" s="24" t="n">
        <x:f>SUM(C10:C15)</x:f>
        <x:v>102</x:v>
      </x:c>
      <x:c r="D17" s="25" t="n">
        <x:f>C17/B17</x:f>
        <x:v>0.1028225806451613</x:v>
      </x:c>
      <x:c r="E17" s="24" t="n">
        <x:f>SUM(E10:E15)</x:f>
        <x:v>156</x:v>
      </x:c>
      <x:c r="F17" s="24" t="n">
        <x:f>C17+E17</x:f>
        <x:v>258</x:v>
      </x:c>
      <x:c r="G17" s="25" t="n">
        <x:f>F17/B17</x:f>
        <x:v>0.2600806451612903</x:v>
      </x:c>
    </x:row>
    <x:row r="18">
      <x:c r="A18" s="5" t="str">
        <x:v>Pooled row counts category memberships. Curie and Pauling each appear in two categories.</x:v>
      </x:c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>
      <x:c r="A20" s="26" t="str">
        <x:v>Interpretation and editing</x:v>
      </x:c>
      <x:c r="B20" s="2"/>
      <x:c r="C20" s="2"/>
      <x:c r="D20" s="2"/>
      <x:c r="E20" s="2"/>
      <x:c r="F20" s="2"/>
      <x:c r="G20" s="2"/>
    </x:row>
    <x:row r="21" ht="21" customHeight="1">
      <x:c r="A21" s="27" t="str">
        <x:v>Clear = my conservative affirmative shortlist, independently of the prestige of the award.</x:v>
      </x:c>
      <x:c r="B21" s="2"/>
      <x:c r="C21" s="2"/>
      <x:c r="D21" s="2"/>
      <x:c r="E21" s="2"/>
      <x:c r="F21" s="2"/>
      <x:c r="G21" s="2"/>
    </x:row>
    <x:row r="22" ht="21" customHeight="1">
      <x:c r="A22" s="27" t="str">
        <x:v>Borderline = a plausible case that I am less comfortable calling unequivocal at this threshold.</x:v>
      </x:c>
      <x:c r="B22" s="2"/>
      <x:c r="C22" s="2"/>
      <x:c r="D22" s="2"/>
      <x:c r="E22" s="2"/>
      <x:c r="F22" s="2"/>
      <x:c r="G22" s="2"/>
    </x:row>
    <x:row r="23" ht="21" customHeight="1">
      <x:c r="A23" s="27" t="str">
        <x:v>Not established here = not on the affirmative shortlist. It does not establish absence of genius.</x:v>
      </x:c>
      <x:c r="B23" s="2"/>
      <x:c r="C23" s="2"/>
      <x:c r="D23" s="2"/>
      <x:c r="E23" s="2"/>
      <x:c r="F23" s="2"/>
      <x:c r="G23" s="2"/>
    </x:row>
    <x:row r="24" ht="21" customHeight="1">
      <x:c r="A24" s="27" t="str">
        <x:v>Inclusive share adds every marked borderline. It is a sensitivity endpoint, not a confidence interval.</x:v>
      </x:c>
      <x:c r="B24" s="2"/>
      <x:c r="C24" s="2"/>
      <x:c r="D24" s="2"/>
      <x:c r="E24" s="2"/>
      <x:c r="F24" s="2"/>
      <x:c r="G24" s="2"/>
    </x:row>
    <x:row r="25" ht="21" customHeight="1">
      <x:c r="A25" s="27" t="str">
        <x:v>Judgments come from one assistant, with no independent raters or exhaustive biographical review.</x:v>
      </x:c>
      <x:c r="B25" s="2"/>
      <x:c r="C25" s="2"/>
      <x:c r="D25" s="2"/>
      <x:c r="E25" s="2"/>
      <x:c r="F25" s="2"/>
      <x:c r="G25" s="2"/>
    </x:row>
    <x:row r="26" ht="21" customHeight="1">
      <x:c r="A26" s="27" t="str">
        <x:v>Familiarity, retrospective reputation, field, era and prize-selection differences affect the comparison.</x:v>
      </x:c>
      <x:c r="B26" s="2"/>
      <x:c r="C26" s="2"/>
      <x:c r="D26" s="2"/>
      <x:c r="E26" s="2"/>
      <x:c r="F26" s="2"/>
      <x:c r="G26" s="2"/>
    </x:row>
    <x:row r="27" ht="21" customHeight="1">
      <x:c r="A27" s="27" t="str">
        <x:v>Literature includes comparable artistic originality. It does not imply scientific or mathematical ability.</x:v>
      </x:c>
      <x:c r="B27" s="2"/>
      <x:c r="C27" s="2"/>
      <x:c r="D27" s="2"/>
      <x:c r="E27" s="2"/>
      <x:c r="F27" s="2"/>
      <x:c r="G27" s="2"/>
    </x:row>
    <x:row r="28" ht="21" customHeight="1">
      <x:c r="A28" s="27" t="str">
        <x:v>Change Coding in Laureates column F to challenge a judgment. Counts and shares recalculate.</x:v>
      </x:c>
      <x:c r="B28" s="2"/>
      <x:c r="C28" s="2"/>
      <x:c r="D28" s="2"/>
      <x:c r="E28" s="2"/>
      <x:c r="F28" s="2"/>
      <x:c r="G28" s="2"/>
    </x:row>
    <x:row r="29" ht="21" customHeight="1">
      <x:c r="A29" s="27" t="str">
        <x:v>One person per prize category. Repeat awards count once. Peace organizations are excluded.</x:v>
      </x:c>
      <x:c r="B29" s="2"/>
      <x:c r="C29" s="2"/>
      <x:c r="D29" s="2"/>
      <x:c r="E29" s="2"/>
      <x:c r="F29" s="2"/>
      <x:c r="G29" s="2"/>
    </x:row>
    <x:row r="30" ht="21" customHeight="1">
      <x:c r="A30" s="27" t="str">
        <x:v>Fields includes Perelman, who declined. Abel excludes the honorary pre-2003 award.</x:v>
      </x:c>
      <x:c r="B30" s="2"/>
      <x:c r="C30" s="2"/>
      <x:c r="D30" s="2"/>
      <x:c r="E30" s="2"/>
      <x:c r="F30" s="2"/>
      <x:c r="G30" s="2"/>
    </x:row>
    <x:row r="31" ht="21" customHeight="1">
      <x:c r="A31" s="27" t="str">
        <x:v>Roster sources and independent population controls are beside the Laureates table, starting in J1.</x:v>
      </x:c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42" hidden="0" customWidth="1"/>
    <x:col min="3" max="3" width="12" hidden="0" customWidth="1"/>
    <x:col min="4" max="4" width="18" hidden="0" customWidth="1"/>
    <x:col min="5" max="5" width="18" hidden="0" customWidth="1"/>
    <x:col min="6" max="6" width="26" hidden="0" customWidth="1"/>
    <x:col min="7" max="7" width="66" hidden="0" customWidth="1"/>
    <x:col min="8" max="8" width="24" hidden="0" customWidth="1"/>
    <x:col min="9" max="9" width="3" hidden="0" customWidth="1"/>
    <x:col min="10" max="10" width="24" hidden="0" customWidth="1"/>
    <x:col min="11" max="11" width="14" hidden="0" customWidth="1"/>
    <x:col min="12" max="12" width="17" hidden="0" customWidth="1"/>
    <x:col min="13" max="13" width="84" hidden="0" customWidth="1"/>
    <x:col min="14" max="14" width="84" hidden="0" customWidth="1"/>
  </x:cols>
  <x:sheetData>
    <x:row r="1" ht="28" customHeight="1">
      <x:c r="A1" s="32" t="str">
        <x:v>Prize</x:v>
      </x:c>
      <x:c r="B1" s="32" t="str">
        <x:v>Laureate</x:v>
      </x:c>
      <x:c r="C1" s="32" t="str">
        <x:v>First award</x:v>
      </x:c>
      <x:c r="D1" s="32" t="str">
        <x:v>Award years</x:v>
      </x:c>
      <x:c r="E1" s="32" t="str">
        <x:v>Recipient type</x:v>
      </x:c>
      <x:c r="F1" s="32" t="str">
        <x:v>Coding</x:v>
      </x:c>
      <x:c r="G1" s="32" t="str">
        <x:v>Reason for judgment</x:v>
      </x:c>
      <x:c r="H1" s="32" t="str">
        <x:v>Roster source ID</x:v>
      </x:c>
      <x:c r="J1" s="32" t="str">
        <x:v>Roster source ID</x:v>
      </x:c>
      <x:c r="K1" s="32" t="str">
        <x:v>People</x:v>
      </x:c>
      <x:c r="L1" s="32" t="str">
        <x:v>Organizations</x:v>
      </x:c>
      <x:c r="M1" s="32" t="str">
        <x:v>Population control</x:v>
      </x:c>
      <x:c r="N1" s="32" t="str">
        <x:v>Roster used</x:v>
      </x:c>
    </x:row>
    <x:row r="2" ht="48" customHeight="1">
      <x:c r="A2" s="29" t="str">
        <x:v>Abel</x:v>
      </x:c>
      <x:c r="B2" s="33" t="str">
        <x:v>Jean-Pierre Serre</x:v>
      </x:c>
      <x:c r="C2" s="35" t="n">
        <x:v>2003</x:v>
      </x:c>
      <x:c r="D2" s="36" t="str">
        <x:v>2003</x:v>
      </x:c>
      <x:c r="E2" s="36" t="str">
        <x:v>Person</x:v>
      </x:c>
      <x:c r="F2" s="37" t="str">
        <x:v>Clear</x:v>
      </x:c>
      <x:c r="G2" s="33" t="str">
        <x:v>Broad foundational algebra, topology and number theory.</x:v>
      </x:c>
      <x:c r="H2" s="29" t="str">
        <x:v>Abel roster</x:v>
      </x:c>
      <x:c r="J2" s="28" t="str">
        <x:v>Abel roster</x:v>
      </x:c>
      <x:c r="K2" s="43" t="n">
        <x:v>28</x:v>
      </x:c>
      <x:c r="L2" s="43" t="n">
        <x:v>0</x:v>
      </x:c>
      <x:c r="M2" s="41" t="str">
        <x:v>https://abelprize.no/winners</x:v>
      </x:c>
      <x:c r="N2" s="41" t="str">
        <x:v>https://abelprize.no/winners</x:v>
      </x:c>
    </x:row>
    <x:row r="3" ht="48" customHeight="1">
      <x:c r="A3" s="29" t="str">
        <x:v>Abel</x:v>
      </x:c>
      <x:c r="B3" s="33" t="str">
        <x:v>Isadore Singer</x:v>
      </x:c>
      <x:c r="C3" s="35" t="n">
        <x:v>2004</x:v>
      </x:c>
      <x:c r="D3" s="36" t="str">
        <x:v>2004</x:v>
      </x:c>
      <x:c r="E3" s="36" t="str">
        <x:v>Person</x:v>
      </x:c>
      <x:c r="F3" s="37" t="str">
        <x:v>Clear</x:v>
      </x:c>
      <x:c r="G3" s="33" t="str">
        <x:v>Index theory and foundational bridges between geometry, analysis and physics.</x:v>
      </x:c>
      <x:c r="H3" s="29" t="str">
        <x:v>Abel roster</x:v>
      </x:c>
      <x:c r="J3" s="28" t="str">
        <x:v>Fields roster</x:v>
      </x:c>
      <x:c r="K3" s="43" t="n">
        <x:v>64</x:v>
      </x:c>
      <x:c r="L3" s="43" t="n">
        <x:v>0</x:v>
      </x:c>
      <x:c r="M3" s="41" t="str">
        <x:v>https://www.mathunion.org/imu-awards/fields-medal</x:v>
      </x:c>
      <x:c r="N3" s="41" t="str">
        <x:v>https://www.mathunion.org/imu-awards/fields-medal</x:v>
      </x:c>
    </x:row>
    <x:row r="4" ht="48" customHeight="1">
      <x:c r="A4" s="29" t="str">
        <x:v>Abel</x:v>
      </x:c>
      <x:c r="B4" s="33" t="str">
        <x:v>Michael Atiyah</x:v>
      </x:c>
      <x:c r="C4" s="35" t="n">
        <x:v>2004</x:v>
      </x:c>
      <x:c r="D4" s="36" t="str">
        <x:v>2004</x:v>
      </x:c>
      <x:c r="E4" s="36" t="str">
        <x:v>Person</x:v>
      </x:c>
      <x:c r="F4" s="37" t="str">
        <x:v>Clear</x:v>
      </x:c>
      <x:c r="G4" s="33" t="str">
        <x:v>Index theory and exceptionally broad geometric originality.</x:v>
      </x:c>
      <x:c r="H4" s="29" t="str">
        <x:v>Abel roster</x:v>
      </x:c>
      <x:c r="J4" s="28" t="str">
        <x:v>Turing roster</x:v>
      </x:c>
      <x:c r="K4" s="43" t="n">
        <x:v>81</x:v>
      </x:c>
      <x:c r="L4" s="43" t="n">
        <x:v>0</x:v>
      </x:c>
      <x:c r="M4" s="41" t="str">
        <x:v>https://prod-amturing.acm.bloomreach.cloud/laureates</x:v>
      </x:c>
      <x:c r="N4" s="41" t="str">
        <x:v>https://en.wikipedia.org/wiki/Turing_Award</x:v>
      </x:c>
    </x:row>
    <x:row r="5" ht="48" customHeight="1">
      <x:c r="A5" s="29" t="str">
        <x:v>Abel</x:v>
      </x:c>
      <x:c r="B5" s="33" t="str">
        <x:v>Peter Lax</x:v>
      </x:c>
      <x:c r="C5" s="35" t="n">
        <x:v>2005</x:v>
      </x:c>
      <x:c r="D5" s="36" t="str">
        <x:v>2005</x:v>
      </x:c>
      <x:c r="E5" s="36" t="str">
        <x:v>Person</x:v>
      </x:c>
      <x:c r="F5" s="37" t="str">
        <x:v>Clear</x:v>
      </x:c>
      <x:c r="G5" s="33" t="str">
        <x:v>Foundational analysis, numerical methods and mathematical physics.</x:v>
      </x:c>
      <x:c r="H5" s="29" t="str">
        <x:v>Abel roster</x:v>
      </x:c>
      <x:c r="J5" s="28" t="str">
        <x:v>Physics roster</x:v>
      </x:c>
      <x:c r="K5" s="43" t="n">
        <x:v>229</x:v>
      </x:c>
      <x:c r="L5" s="43" t="n">
        <x:v>0</x:v>
      </x:c>
      <x:c r="M5" s="41" t="str">
        <x:v>https://www.nobelprize.org/prizes/physics/facts-on-the-nobel-prize-in-physics/</x:v>
      </x:c>
      <x:c r="N5" s="41" t="str">
        <x:v>https://en.wikipedia.org/wiki/List_of_Nobel_laureates_in_Physics</x:v>
      </x:c>
    </x:row>
    <x:row r="6" ht="48" customHeight="1">
      <x:c r="A6" s="29" t="str">
        <x:v>Abel</x:v>
      </x:c>
      <x:c r="B6" s="33" t="str">
        <x:v>Lennart Carleson</x:v>
      </x:c>
      <x:c r="C6" s="35" t="n">
        <x:v>2006</x:v>
      </x:c>
      <x:c r="D6" s="36" t="str">
        <x:v>2006</x:v>
      </x:c>
      <x:c r="E6" s="36" t="str">
        <x:v>Person</x:v>
      </x:c>
      <x:c r="F6" s="37" t="str">
        <x:v>Clear</x:v>
      </x:c>
      <x:c r="G6" s="33" t="str">
        <x:v>Exceptional original harmonic analysis.</x:v>
      </x:c>
      <x:c r="H6" s="29" t="str">
        <x:v>Abel roster</x:v>
      </x:c>
      <x:c r="J6" s="28" t="str">
        <x:v>Chemistry roster</x:v>
      </x:c>
      <x:c r="K6" s="43" t="n">
        <x:v>198</x:v>
      </x:c>
      <x:c r="L6" s="43" t="n">
        <x:v>0</x:v>
      </x:c>
      <x:c r="M6" s="41" t="str">
        <x:v>https://www.nobelprize.org/prizes/chemistry/facts-on-the-nobel-prize-in-chemistry/</x:v>
      </x:c>
      <x:c r="N6" s="41" t="str">
        <x:v>https://en.wikipedia.org/wiki/List_of_Nobel_laureates_in_Chemistry</x:v>
      </x:c>
    </x:row>
    <x:row r="7" ht="48" customHeight="1">
      <x:c r="A7" s="29" t="str">
        <x:v>Abel</x:v>
      </x:c>
      <x:c r="B7" s="33" t="str">
        <x:v>S. R. Srinivasa Varadhan</x:v>
      </x:c>
      <x:c r="C7" s="35" t="n">
        <x:v>2007</x:v>
      </x:c>
      <x:c r="D7" s="36" t="str">
        <x:v>2007</x:v>
      </x:c>
      <x:c r="E7" s="36" t="str">
        <x:v>Person</x:v>
      </x:c>
      <x:c r="F7" s="37" t="str">
        <x:v>Borderline</x:v>
      </x:c>
      <x:c r="G7" s="33" t="str">
        <x:v>Major original mathematics. I am less certain of equivalence to the user's very high benchmark.</x:v>
      </x:c>
      <x:c r="H7" s="29" t="str">
        <x:v>Abel roster</x:v>
      </x:c>
      <x:c r="J7" s="28" t="str">
        <x:v>Literature roster</x:v>
      </x:c>
      <x:c r="K7" s="43" t="n">
        <x:v>122</x:v>
      </x:c>
      <x:c r="L7" s="43" t="n">
        <x:v>0</x:v>
      </x:c>
      <x:c r="M7" s="41" t="str">
        <x:v>https://www.nobelprize.org/prizes/lists/all-nobel-prizes-in-literature/</x:v>
      </x:c>
      <x:c r="N7" s="41" t="str">
        <x:v>https://en.wikipedia.org/wiki/List_of_Nobel_laureates_in_Literature</x:v>
      </x:c>
    </x:row>
    <x:row r="8" ht="48" customHeight="1">
      <x:c r="A8" s="29" t="str">
        <x:v>Abel</x:v>
      </x:c>
      <x:c r="B8" s="33" t="str">
        <x:v>Jacques Tits</x:v>
      </x:c>
      <x:c r="C8" s="35" t="n">
        <x:v>2008</x:v>
      </x:c>
      <x:c r="D8" s="36" t="str">
        <x:v>2008</x:v>
      </x:c>
      <x:c r="E8" s="36" t="str">
        <x:v>Person</x:v>
      </x:c>
      <x:c r="F8" s="37" t="str">
        <x:v>Clear</x:v>
      </x:c>
      <x:c r="G8" s="33" t="str">
        <x:v>Buildings and foundational group theory.</x:v>
      </x:c>
      <x:c r="H8" s="29" t="str">
        <x:v>Abel roster</x:v>
      </x:c>
      <x:c r="J8" s="28" t="str">
        <x:v>Economics roster</x:v>
      </x:c>
      <x:c r="K8" s="43" t="n">
        <x:v>99</x:v>
      </x:c>
      <x:c r="L8" s="43" t="n">
        <x:v>0</x:v>
      </x:c>
      <x:c r="M8" s="41" t="str">
        <x:v>https://www.nobelprize.org/prizes/lists/all-prizes-in-economic-sciences/</x:v>
      </x:c>
      <x:c r="N8" s="41" t="str">
        <x:v>https://en.wikipedia.org/wiki/List_of_Nobel_Memorial_Prize_laureates_in_Economic_Sciences</x:v>
      </x:c>
    </x:row>
    <x:row r="9" ht="48" customHeight="1">
      <x:c r="A9" s="29" t="str">
        <x:v>Abel</x:v>
      </x:c>
      <x:c r="B9" s="33" t="str">
        <x:v>John G. Thompson</x:v>
      </x:c>
      <x:c r="C9" s="35" t="n">
        <x:v>2008</x:v>
      </x:c>
      <x:c r="D9" s="36" t="str">
        <x:v>2008</x:v>
      </x:c>
      <x:c r="E9" s="36" t="str">
        <x:v>Person</x:v>
      </x:c>
      <x:c r="F9" s="37" t="str">
        <x:v>Clear</x:v>
      </x:c>
      <x:c r="G9" s="33" t="str">
        <x:v>Foundational finite-group theory.</x:v>
      </x:c>
      <x:c r="H9" s="29" t="str">
        <x:v>Abel roster</x:v>
      </x:c>
      <x:c r="J9" s="28" t="str">
        <x:v>Medicine roster</x:v>
      </x:c>
      <x:c r="K9" s="43" t="n">
        <x:v>232</x:v>
      </x:c>
      <x:c r="L9" s="43" t="n">
        <x:v>0</x:v>
      </x:c>
      <x:c r="M9" s="41" t="str">
        <x:v>https://www.nobelprize.org/prizes/medicine/facts-on-the-nobel-prize-in-physiology-or-medicine/</x:v>
      </x:c>
      <x:c r="N9" s="41" t="str">
        <x:v>https://en.wikipedia.org/wiki/List_of_Nobel_laureates_in_Physiology_or_Medicine</x:v>
      </x:c>
    </x:row>
    <x:row r="10" ht="48" customHeight="1">
      <x:c r="A10" s="29" t="str">
        <x:v>Abel</x:v>
      </x:c>
      <x:c r="B10" s="33" t="str">
        <x:v>Mikhail Gromov</x:v>
      </x:c>
      <x:c r="C10" s="35" t="n">
        <x:v>2009</x:v>
      </x:c>
      <x:c r="D10" s="36" t="str">
        <x:v>2009</x:v>
      </x:c>
      <x:c r="E10" s="36" t="str">
        <x:v>Person</x:v>
      </x:c>
      <x:c r="F10" s="37" t="str">
        <x:v>Clear</x:v>
      </x:c>
      <x:c r="G10" s="33" t="str">
        <x:v>Radically original geometric ideas across many areas.</x:v>
      </x:c>
      <x:c r="H10" s="29" t="str">
        <x:v>Abel roster</x:v>
      </x:c>
      <x:c r="J10" s="28" t="str">
        <x:v>Peace roster</x:v>
      </x:c>
      <x:c r="K10" s="43" t="n">
        <x:v>112</x:v>
      </x:c>
      <x:c r="L10" s="43" t="n">
        <x:v>28</x:v>
      </x:c>
      <x:c r="M10" s="41" t="str">
        <x:v>https://www.nobelprize.org/prizes/lists/all-nobel-peace-prizes/</x:v>
      </x:c>
      <x:c r="N10" s="41" t="str">
        <x:v>https://en.wikipedia.org/wiki/List_of_Nobel_Peace_Prize_laureates</x:v>
      </x:c>
    </x:row>
    <x:row r="11" ht="36" customHeight="1">
      <x:c r="A11" s="29" t="str">
        <x:v>Abel</x:v>
      </x:c>
      <x:c r="B11" s="33" t="str">
        <x:v>John Tate</x:v>
      </x:c>
      <x:c r="C11" s="35" t="n">
        <x:v>2010</x:v>
      </x:c>
      <x:c r="D11" s="36" t="str">
        <x:v>2010</x:v>
      </x:c>
      <x:c r="E11" s="36" t="str">
        <x:v>Person</x:v>
      </x:c>
      <x:c r="F11" s="37" t="str">
        <x:v>Clear</x:v>
      </x:c>
      <x:c r="G11" s="33" t="str">
        <x:v>Foundational arithmetic geometry and number theory.</x:v>
      </x:c>
      <x:c r="H11" s="29" t="str">
        <x:v>Abel roster</x:v>
      </x:c>
    </x:row>
    <x:row r="12" ht="36" customHeight="1">
      <x:c r="A12" s="29" t="str">
        <x:v>Abel</x:v>
      </x:c>
      <x:c r="B12" s="33" t="str">
        <x:v>John Milnor</x:v>
      </x:c>
      <x:c r="C12" s="35" t="n">
        <x:v>2011</x:v>
      </x:c>
      <x:c r="D12" s="36" t="str">
        <x:v>2011</x:v>
      </x:c>
      <x:c r="E12" s="36" t="str">
        <x:v>Person</x:v>
      </x:c>
      <x:c r="F12" s="37" t="str">
        <x:v>Clear</x:v>
      </x:c>
      <x:c r="G12" s="33" t="str">
        <x:v>Exotic spheres and repeated foundational geometric advances.</x:v>
      </x:c>
      <x:c r="H12" s="29" t="str">
        <x:v>Abel roster</x:v>
      </x:c>
    </x:row>
    <x:row r="13" ht="22" customHeight="1">
      <x:c r="A13" s="29" t="str">
        <x:v>Abel</x:v>
      </x:c>
      <x:c r="B13" s="33" t="str">
        <x:v>Endre Szemerédi</x:v>
      </x:c>
      <x:c r="C13" s="35" t="n">
        <x:v>2012</x:v>
      </x:c>
      <x:c r="D13" s="36" t="str">
        <x:v>2012</x:v>
      </x:c>
      <x:c r="E13" s="36" t="str">
        <x:v>Person</x:v>
      </x:c>
      <x:c r="F13" s="37" t="str">
        <x:v>Clear</x:v>
      </x:c>
      <x:c r="G13" s="33" t="str">
        <x:v>Deep, radically original combinatorial methods.</x:v>
      </x:c>
      <x:c r="H13" s="29" t="str">
        <x:v>Abel roster</x:v>
      </x:c>
      <x:c r="J13" s="44" t="str">
        <x:v>Population controls use award years through 2025.</x:v>
      </x:c>
      <x:c r="K13" s="44"/>
      <x:c r="L13" s="44"/>
      <x:c r="M13" s="44"/>
      <x:c r="N13" s="44"/>
    </x:row>
    <x:row r="14" ht="22" customHeight="1">
      <x:c r="A14" s="29" t="str">
        <x:v>Abel</x:v>
      </x:c>
      <x:c r="B14" s="33" t="str">
        <x:v>Pierre Deligne</x:v>
      </x:c>
      <x:c r="C14" s="35" t="n">
        <x:v>2013</x:v>
      </x:c>
      <x:c r="D14" s="36" t="str">
        <x:v>2013</x:v>
      </x:c>
      <x:c r="E14" s="36" t="str">
        <x:v>Person</x:v>
      </x:c>
      <x:c r="F14" s="37" t="str">
        <x:v>Clear</x:v>
      </x:c>
      <x:c r="G14" s="33" t="str">
        <x:v>Weil conjectures and foundational algebraic geometry.</x:v>
      </x:c>
      <x:c r="H14" s="29" t="str">
        <x:v>Abel roster</x:v>
      </x:c>
      <x:c r="J14" s="44" t="str">
        <x:v>Physics: 230 award-recipient entries less Bardeen repeated once = 229 people.</x:v>
      </x:c>
      <x:c r="K14" s="44"/>
      <x:c r="L14" s="44"/>
      <x:c r="M14" s="44"/>
      <x:c r="N14" s="44"/>
    </x:row>
    <x:row r="15" ht="22" customHeight="1">
      <x:c r="A15" s="29" t="str">
        <x:v>Abel</x:v>
      </x:c>
      <x:c r="B15" s="33" t="str">
        <x:v>Yakov Sinai</x:v>
      </x:c>
      <x:c r="C15" s="35" t="n">
        <x:v>2014</x:v>
      </x:c>
      <x:c r="D15" s="36" t="str">
        <x:v>2014</x:v>
      </x:c>
      <x:c r="E15" s="36" t="str">
        <x:v>Person</x:v>
      </x:c>
      <x:c r="F15" s="37" t="str">
        <x:v>Clear</x:v>
      </x:c>
      <x:c r="G15" s="33" t="str">
        <x:v>Foundational probability, dynamics and mathematical physics.</x:v>
      </x:c>
      <x:c r="H15" s="29" t="str">
        <x:v>Abel roster</x:v>
      </x:c>
      <x:c r="J15" s="44" t="str">
        <x:v>Chemistry: 200 entries less Sanger and Sharpless each repeated once = 198 people.</x:v>
      </x:c>
      <x:c r="K15" s="44"/>
      <x:c r="L15" s="44"/>
      <x:c r="M15" s="44"/>
      <x:c r="N15" s="44"/>
    </x:row>
    <x:row r="16" ht="22" customHeight="1">
      <x:c r="A16" s="29" t="str">
        <x:v>Abel</x:v>
      </x:c>
      <x:c r="B16" s="33" t="str">
        <x:v>John Nash</x:v>
      </x:c>
      <x:c r="C16" s="35" t="n">
        <x:v>2015</x:v>
      </x:c>
      <x:c r="D16" s="36" t="str">
        <x:v>2015</x:v>
      </x:c>
      <x:c r="E16" s="36" t="str">
        <x:v>Person</x:v>
      </x:c>
      <x:c r="F16" s="37" t="str">
        <x:v>Clear</x:v>
      </x:c>
      <x:c r="G16" s="33" t="str">
        <x:v>User-specified calibration case.</x:v>
      </x:c>
      <x:c r="H16" s="29" t="str">
        <x:v>Abel roster</x:v>
      </x:c>
      <x:c r="J16" s="44" t="str">
        <x:v>Peace: 112 people and 31 organization awards to 28 distinct organizations.</x:v>
      </x:c>
      <x:c r="K16" s="44"/>
      <x:c r="L16" s="44"/>
      <x:c r="M16" s="44"/>
      <x:c r="N16" s="44"/>
    </x:row>
    <x:row r="17" ht="22" customHeight="1">
      <x:c r="A17" s="29" t="str">
        <x:v>Abel</x:v>
      </x:c>
      <x:c r="B17" s="33" t="str">
        <x:v>Louis Nirenberg</x:v>
      </x:c>
      <x:c r="C17" s="35" t="n">
        <x:v>2015</x:v>
      </x:c>
      <x:c r="D17" s="36" t="str">
        <x:v>2015</x:v>
      </x:c>
      <x:c r="E17" s="36" t="str">
        <x:v>Person</x:v>
      </x:c>
      <x:c r="F17" s="37" t="str">
        <x:v>Clear</x:v>
      </x:c>
      <x:c r="G17" s="33" t="str">
        <x:v>Deep original methods across geometric analysis and partial differential equations.</x:v>
      </x:c>
      <x:c r="H17" s="29" t="str">
        <x:v>Abel roster</x:v>
      </x:c>
      <x:c r="J17" s="44" t="str">
        <x:v>Abel: 28 people through 2025. Fields: 64 through 2022. Turing: 81 through award year 2025.</x:v>
      </x:c>
      <x:c r="K17" s="44"/>
      <x:c r="L17" s="44"/>
      <x:c r="M17" s="44"/>
      <x:c r="N17" s="44"/>
    </x:row>
    <x:row r="18" ht="22" customHeight="1">
      <x:c r="A18" s="29" t="str">
        <x:v>Abel</x:v>
      </x:c>
      <x:c r="B18" s="33" t="str">
        <x:v>Andrew Wiles</x:v>
      </x:c>
      <x:c r="C18" s="35" t="n">
        <x:v>2016</x:v>
      </x:c>
      <x:c r="D18" s="36" t="str">
        <x:v>2016</x:v>
      </x:c>
      <x:c r="E18" s="36" t="str">
        <x:v>Person</x:v>
      </x:c>
      <x:c r="F18" s="37" t="str">
        <x:v>Clear</x:v>
      </x:c>
      <x:c r="G18" s="33" t="str">
        <x:v>Fermat's Last Theorem through foundational arithmetic advances.</x:v>
      </x:c>
      <x:c r="H18" s="29" t="str">
        <x:v>Abel roster</x:v>
      </x:c>
      <x:c r="J18" s="44" t="str">
        <x:v>Nobel rosters were parsed from Wikipedia and reconciled to Nobel Foundation counts.</x:v>
      </x:c>
      <x:c r="K18" s="44"/>
      <x:c r="L18" s="44"/>
      <x:c r="M18" s="44"/>
      <x:c r="N18" s="44"/>
    </x:row>
    <x:row r="19" ht="22" customHeight="1">
      <x:c r="A19" s="29" t="str">
        <x:v>Abel</x:v>
      </x:c>
      <x:c r="B19" s="33" t="str">
        <x:v>Yves Meyer</x:v>
      </x:c>
      <x:c r="C19" s="35" t="n">
        <x:v>2017</x:v>
      </x:c>
      <x:c r="D19" s="36" t="str">
        <x:v>2017</x:v>
      </x:c>
      <x:c r="E19" s="36" t="str">
        <x:v>Person</x:v>
      </x:c>
      <x:c r="F19" s="37" t="str">
        <x:v>Borderline</x:v>
      </x:c>
      <x:c r="G19" s="33" t="str">
        <x:v>Major original mathematics. I am less certain of equivalence to the user's very high benchmark.</x:v>
      </x:c>
      <x:c r="H19" s="29" t="str">
        <x:v>Abel roster</x:v>
      </x:c>
      <x:c r="J19" s="44" t="str">
        <x:v>Turing roster was parsed from Wikipedia and reconciled to ACM and the published total.</x:v>
      </x:c>
      <x:c r="K19" s="44"/>
      <x:c r="L19" s="44"/>
      <x:c r="M19" s="44"/>
      <x:c r="N19" s="44"/>
    </x:row>
    <x:row r="20" ht="22" customHeight="1">
      <x:c r="A20" s="29" t="str">
        <x:v>Abel</x:v>
      </x:c>
      <x:c r="B20" s="33" t="str">
        <x:v>Robert Langlands</x:v>
      </x:c>
      <x:c r="C20" s="35" t="n">
        <x:v>2018</x:v>
      </x:c>
      <x:c r="D20" s="36" t="str">
        <x:v>2018</x:v>
      </x:c>
      <x:c r="E20" s="36" t="str">
        <x:v>Person</x:v>
      </x:c>
      <x:c r="F20" s="37" t="str">
        <x:v>Clear</x:v>
      </x:c>
      <x:c r="G20" s="33" t="str">
        <x:v>Created the unifying Langlands programme.</x:v>
      </x:c>
      <x:c r="H20" s="29" t="str">
        <x:v>Abel roster</x:v>
      </x:c>
      <x:c r="J20" s="44" t="str">
        <x:v>Genius coding and rationales are the assistant’s judgments; roster sources do not certify the labels.</x:v>
      </x:c>
      <x:c r="K20" s="44"/>
      <x:c r="L20" s="44"/>
      <x:c r="M20" s="44"/>
      <x:c r="N20" s="44"/>
    </x:row>
    <x:row r="21" ht="36" customHeight="1">
      <x:c r="A21" s="29" t="str">
        <x:v>Abel</x:v>
      </x:c>
      <x:c r="B21" s="33" t="str">
        <x:v>Karen Uhlenbeck</x:v>
      </x:c>
      <x:c r="C21" s="35" t="n">
        <x:v>2019</x:v>
      </x:c>
      <x:c r="D21" s="36" t="str">
        <x:v>2019</x:v>
      </x:c>
      <x:c r="E21" s="36" t="str">
        <x:v>Person</x:v>
      </x:c>
      <x:c r="F21" s="37" t="str">
        <x:v>Borderline</x:v>
      </x:c>
      <x:c r="G21" s="33" t="str">
        <x:v>Major original mathematics. I am less certain of equivalence to the user's very high benchmark.</x:v>
      </x:c>
      <x:c r="H21" s="29" t="str">
        <x:v>Abel roster</x:v>
      </x:c>
    </x:row>
    <x:row r="22" ht="36" customHeight="1">
      <x:c r="A22" s="29" t="str">
        <x:v>Abel</x:v>
      </x:c>
      <x:c r="B22" s="33" t="str">
        <x:v>Gregory Margulis</x:v>
      </x:c>
      <x:c r="C22" s="35" t="n">
        <x:v>2020</x:v>
      </x:c>
      <x:c r="D22" s="36" t="str">
        <x:v>2020</x:v>
      </x:c>
      <x:c r="E22" s="36" t="str">
        <x:v>Person</x:v>
      </x:c>
      <x:c r="F22" s="37" t="str">
        <x:v>Clear</x:v>
      </x:c>
      <x:c r="G22" s="33" t="str">
        <x:v>Arithmeticity, rigidity and broad original mathematics.</x:v>
      </x:c>
      <x:c r="H22" s="29" t="str">
        <x:v>Abel roster</x:v>
      </x:c>
    </x:row>
    <x:row r="23" ht="36" customHeight="1">
      <x:c r="A23" s="29" t="str">
        <x:v>Abel</x:v>
      </x:c>
      <x:c r="B23" s="33" t="str">
        <x:v>Hillel Furstenberg</x:v>
      </x:c>
      <x:c r="C23" s="35" t="n">
        <x:v>2020</x:v>
      </x:c>
      <x:c r="D23" s="36" t="str">
        <x:v>2020</x:v>
      </x:c>
      <x:c r="E23" s="36" t="str">
        <x:v>Person</x:v>
      </x:c>
      <x:c r="F23" s="37" t="str">
        <x:v>Clear</x:v>
      </x:c>
      <x:c r="G23" s="33" t="str">
        <x:v>Radically original connections between dynamics, probability and combinatorics.</x:v>
      </x:c>
      <x:c r="H23" s="29" t="str">
        <x:v>Abel roster</x:v>
      </x:c>
    </x:row>
    <x:row r="24" ht="36" customHeight="1">
      <x:c r="A24" s="29" t="str">
        <x:v>Abel</x:v>
      </x:c>
      <x:c r="B24" s="33" t="str">
        <x:v>Avi Wigderson</x:v>
      </x:c>
      <x:c r="C24" s="35" t="n">
        <x:v>2021</x:v>
      </x:c>
      <x:c r="D24" s="36" t="str">
        <x:v>2021</x:v>
      </x:c>
      <x:c r="E24" s="36" t="str">
        <x:v>Person</x:v>
      </x:c>
      <x:c r="F24" s="37" t="str">
        <x:v>Clear</x:v>
      </x:c>
      <x:c r="G24" s="33" t="str">
        <x:v>Repeated foundational ideas across computational complexity and theoretical computing.</x:v>
      </x:c>
      <x:c r="H24" s="29" t="str">
        <x:v>Abel roster</x:v>
      </x:c>
    </x:row>
    <x:row r="25" ht="36" customHeight="1">
      <x:c r="A25" s="29" t="str">
        <x:v>Abel</x:v>
      </x:c>
      <x:c r="B25" s="33" t="str">
        <x:v>László Lovász</x:v>
      </x:c>
      <x:c r="C25" s="35" t="n">
        <x:v>2021</x:v>
      </x:c>
      <x:c r="D25" s="36" t="str">
        <x:v>2021</x:v>
      </x:c>
      <x:c r="E25" s="36" t="str">
        <x:v>Person</x:v>
      </x:c>
      <x:c r="F25" s="37" t="str">
        <x:v>Clear</x:v>
      </x:c>
      <x:c r="G25" s="33" t="str">
        <x:v>Foundational combinatorics, algorithms and discrete mathematics.</x:v>
      </x:c>
      <x:c r="H25" s="29" t="str">
        <x:v>Abel roster</x:v>
      </x:c>
    </x:row>
    <x:row r="26" ht="36" customHeight="1">
      <x:c r="A26" s="29" t="str">
        <x:v>Abel</x:v>
      </x:c>
      <x:c r="B26" s="33" t="str">
        <x:v>Dennis Sullivan</x:v>
      </x:c>
      <x:c r="C26" s="35" t="n">
        <x:v>2022</x:v>
      </x:c>
      <x:c r="D26" s="36" t="str">
        <x:v>2022</x:v>
      </x:c>
      <x:c r="E26" s="36" t="str">
        <x:v>Person</x:v>
      </x:c>
      <x:c r="F26" s="37" t="str">
        <x:v>Clear</x:v>
      </x:c>
      <x:c r="G26" s="33" t="str">
        <x:v>Foundational topology, geometry and dynamics.</x:v>
      </x:c>
      <x:c r="H26" s="29" t="str">
        <x:v>Abel roster</x:v>
      </x:c>
    </x:row>
    <x:row r="27" ht="36" customHeight="1">
      <x:c r="A27" s="29" t="str">
        <x:v>Abel</x:v>
      </x:c>
      <x:c r="B27" s="33" t="str">
        <x:v>Luis Caffarelli</x:v>
      </x:c>
      <x:c r="C27" s="35" t="n">
        <x:v>2023</x:v>
      </x:c>
      <x:c r="D27" s="36" t="str">
        <x:v>2023</x:v>
      </x:c>
      <x:c r="E27" s="36" t="str">
        <x:v>Person</x:v>
      </x:c>
      <x:c r="F27" s="37" t="str">
        <x:v>Borderline</x:v>
      </x:c>
      <x:c r="G27" s="33" t="str">
        <x:v>Major original mathematics. I am less certain of equivalence to the user's very high benchmark.</x:v>
      </x:c>
      <x:c r="H27" s="29" t="str">
        <x:v>Abel roster</x:v>
      </x:c>
    </x:row>
    <x:row r="28" ht="36" customHeight="1">
      <x:c r="A28" s="29" t="str">
        <x:v>Abel</x:v>
      </x:c>
      <x:c r="B28" s="33" t="str">
        <x:v>Michel Talagrand</x:v>
      </x:c>
      <x:c r="C28" s="35" t="n">
        <x:v>2024</x:v>
      </x:c>
      <x:c r="D28" s="36" t="str">
        <x:v>2024</x:v>
      </x:c>
      <x:c r="E28" s="36" t="str">
        <x:v>Person</x:v>
      </x:c>
      <x:c r="F28" s="37" t="str">
        <x:v>Clear</x:v>
      </x:c>
      <x:c r="G28" s="33" t="str">
        <x:v>Repeated foundational methods in probability and functional analysis.</x:v>
      </x:c>
      <x:c r="H28" s="29" t="str">
        <x:v>Abel roster</x:v>
      </x:c>
    </x:row>
    <x:row r="29" ht="36" customHeight="1">
      <x:c r="A29" s="29" t="str">
        <x:v>Abel</x:v>
      </x:c>
      <x:c r="B29" s="33" t="str">
        <x:v>Masaki Kashiwara</x:v>
      </x:c>
      <x:c r="C29" s="35" t="n">
        <x:v>2025</x:v>
      </x:c>
      <x:c r="D29" s="36" t="str">
        <x:v>2025</x:v>
      </x:c>
      <x:c r="E29" s="36" t="str">
        <x:v>Person</x:v>
      </x:c>
      <x:c r="F29" s="37" t="str">
        <x:v>Clear</x:v>
      </x:c>
      <x:c r="G29" s="33" t="str">
        <x:v>D-modules, crystal bases and foundational algebraic analysis.</x:v>
      </x:c>
      <x:c r="H29" s="29" t="str">
        <x:v>Abel roster</x:v>
      </x:c>
    </x:row>
    <x:row r="30" ht="36" customHeight="1">
      <x:c r="A30" s="29" t="str">
        <x:v>Fields</x:v>
      </x:c>
      <x:c r="B30" s="33" t="str">
        <x:v>Jesse Douglas</x:v>
      </x:c>
      <x:c r="C30" s="35" t="n">
        <x:v>1936</x:v>
      </x:c>
      <x:c r="D30" s="36" t="str">
        <x:v>1936</x:v>
      </x:c>
      <x:c r="E30" s="36" t="str">
        <x:v>Person</x:v>
      </x:c>
      <x:c r="F30" s="37" t="str">
        <x:v>Borderline</x:v>
      </x:c>
      <x:c r="G30" s="33" t="str">
        <x:v>Major original mathematics. I am less certain of equivalence to the user's very high benchmark.</x:v>
      </x:c>
      <x:c r="H30" s="29" t="str">
        <x:v>Fields roster</x:v>
      </x:c>
    </x:row>
    <x:row r="31" ht="36" customHeight="1">
      <x:c r="A31" s="29" t="str">
        <x:v>Fields</x:v>
      </x:c>
      <x:c r="B31" s="33" t="str">
        <x:v>Lars Valerian Ahlfors</x:v>
      </x:c>
      <x:c r="C31" s="35" t="n">
        <x:v>1936</x:v>
      </x:c>
      <x:c r="D31" s="36" t="str">
        <x:v>1936</x:v>
      </x:c>
      <x:c r="E31" s="36" t="str">
        <x:v>Person</x:v>
      </x:c>
      <x:c r="F31" s="37" t="str">
        <x:v>Borderline</x:v>
      </x:c>
      <x:c r="G31" s="33" t="str">
        <x:v>Major original mathematics. I am less certain of equivalence to the user's very high benchmark.</x:v>
      </x:c>
      <x:c r="H31" s="29" t="str">
        <x:v>Fields roster</x:v>
      </x:c>
    </x:row>
    <x:row r="32" ht="36" customHeight="1">
      <x:c r="A32" s="29" t="str">
        <x:v>Fields</x:v>
      </x:c>
      <x:c r="B32" s="33" t="str">
        <x:v>Atle Selberg</x:v>
      </x:c>
      <x:c r="C32" s="35" t="n">
        <x:v>1950</x:v>
      </x:c>
      <x:c r="D32" s="36" t="str">
        <x:v>1950</x:v>
      </x:c>
      <x:c r="E32" s="36" t="str">
        <x:v>Person</x:v>
      </x:c>
      <x:c r="F32" s="37" t="str">
        <x:v>Clear</x:v>
      </x:c>
      <x:c r="G32" s="33" t="str">
        <x:v>Profound analytic number theory and trace formulas.</x:v>
      </x:c>
      <x:c r="H32" s="29" t="str">
        <x:v>Fields roster</x:v>
      </x:c>
    </x:row>
    <x:row r="33" ht="36" customHeight="1">
      <x:c r="A33" s="29" t="str">
        <x:v>Fields</x:v>
      </x:c>
      <x:c r="B33" s="33" t="str">
        <x:v>Laurent Schwartz</x:v>
      </x:c>
      <x:c r="C33" s="35" t="n">
        <x:v>1950</x:v>
      </x:c>
      <x:c r="D33" s="36" t="str">
        <x:v>1950</x:v>
      </x:c>
      <x:c r="E33" s="36" t="str">
        <x:v>Person</x:v>
      </x:c>
      <x:c r="F33" s="37" t="str">
        <x:v>Clear</x:v>
      </x:c>
      <x:c r="G33" s="33" t="str">
        <x:v>Distribution theory.</x:v>
      </x:c>
      <x:c r="H33" s="29" t="str">
        <x:v>Fields roster</x:v>
      </x:c>
    </x:row>
    <x:row r="34" ht="36" customHeight="1">
      <x:c r="A34" s="29" t="str">
        <x:v>Fields</x:v>
      </x:c>
      <x:c r="B34" s="33" t="str">
        <x:v>Jean-Pierre Serre</x:v>
      </x:c>
      <x:c r="C34" s="35" t="n">
        <x:v>1954</x:v>
      </x:c>
      <x:c r="D34" s="36" t="str">
        <x:v>1954</x:v>
      </x:c>
      <x:c r="E34" s="36" t="str">
        <x:v>Person</x:v>
      </x:c>
      <x:c r="F34" s="37" t="str">
        <x:v>Clear</x:v>
      </x:c>
      <x:c r="G34" s="33" t="str">
        <x:v>Broad foundational algebra, topology and number theory.</x:v>
      </x:c>
      <x:c r="H34" s="29" t="str">
        <x:v>Fields roster</x:v>
      </x:c>
    </x:row>
    <x:row r="35" ht="36" customHeight="1">
      <x:c r="A35" s="29" t="str">
        <x:v>Fields</x:v>
      </x:c>
      <x:c r="B35" s="33" t="str">
        <x:v>Kunihiko Kodaira</x:v>
      </x:c>
      <x:c r="C35" s="35" t="n">
        <x:v>1954</x:v>
      </x:c>
      <x:c r="D35" s="36" t="str">
        <x:v>1954</x:v>
      </x:c>
      <x:c r="E35" s="36" t="str">
        <x:v>Person</x:v>
      </x:c>
      <x:c r="F35" s="37" t="str">
        <x:v>Clear</x:v>
      </x:c>
      <x:c r="G35" s="33" t="str">
        <x:v>Foundational complex and algebraic geometry.</x:v>
      </x:c>
      <x:c r="H35" s="29" t="str">
        <x:v>Fields roster</x:v>
      </x:c>
    </x:row>
    <x:row r="36" ht="36" customHeight="1">
      <x:c r="A36" s="29" t="str">
        <x:v>Fields</x:v>
      </x:c>
      <x:c r="B36" s="33" t="str">
        <x:v>Klaus Friedrich Roth</x:v>
      </x:c>
      <x:c r="C36" s="35" t="n">
        <x:v>1958</x:v>
      </x:c>
      <x:c r="D36" s="36" t="str">
        <x:v>1958</x:v>
      </x:c>
      <x:c r="E36" s="36" t="str">
        <x:v>Person</x:v>
      </x:c>
      <x:c r="F36" s="37" t="str">
        <x:v>Borderline</x:v>
      </x:c>
      <x:c r="G36" s="33" t="str">
        <x:v>Major original mathematics. I am less certain of equivalence to the user's very high benchmark.</x:v>
      </x:c>
      <x:c r="H36" s="29" t="str">
        <x:v>Fields roster</x:v>
      </x:c>
    </x:row>
    <x:row r="37" ht="36" customHeight="1">
      <x:c r="A37" s="29" t="str">
        <x:v>Fields</x:v>
      </x:c>
      <x:c r="B37" s="33" t="str">
        <x:v>René Thom</x:v>
      </x:c>
      <x:c r="C37" s="35" t="n">
        <x:v>1958</x:v>
      </x:c>
      <x:c r="D37" s="36" t="str">
        <x:v>1958</x:v>
      </x:c>
      <x:c r="E37" s="36" t="str">
        <x:v>Person</x:v>
      </x:c>
      <x:c r="F37" s="37" t="str">
        <x:v>Clear</x:v>
      </x:c>
      <x:c r="G37" s="33" t="str">
        <x:v>Cobordism and exceptional geometric originality.</x:v>
      </x:c>
      <x:c r="H37" s="29" t="str">
        <x:v>Fields roster</x:v>
      </x:c>
    </x:row>
    <x:row r="38" ht="36" customHeight="1">
      <x:c r="A38" s="29" t="str">
        <x:v>Fields</x:v>
      </x:c>
      <x:c r="B38" s="33" t="str">
        <x:v>John Willard Milnor</x:v>
      </x:c>
      <x:c r="C38" s="35" t="n">
        <x:v>1962</x:v>
      </x:c>
      <x:c r="D38" s="36" t="str">
        <x:v>1962</x:v>
      </x:c>
      <x:c r="E38" s="36" t="str">
        <x:v>Person</x:v>
      </x:c>
      <x:c r="F38" s="37" t="str">
        <x:v>Clear</x:v>
      </x:c>
      <x:c r="G38" s="33" t="str">
        <x:v>Exotic spheres and repeated foundational geometric advances.</x:v>
      </x:c>
      <x:c r="H38" s="29" t="str">
        <x:v>Fields roster</x:v>
      </x:c>
    </x:row>
    <x:row r="39" ht="36" customHeight="1">
      <x:c r="A39" s="29" t="str">
        <x:v>Fields</x:v>
      </x:c>
      <x:c r="B39" s="33" t="str">
        <x:v>Lars Hörmander</x:v>
      </x:c>
      <x:c r="C39" s="35" t="n">
        <x:v>1962</x:v>
      </x:c>
      <x:c r="D39" s="36" t="str">
        <x:v>1962</x:v>
      </x:c>
      <x:c r="E39" s="36" t="str">
        <x:v>Person</x:v>
      </x:c>
      <x:c r="F39" s="37" t="str">
        <x:v>Clear</x:v>
      </x:c>
      <x:c r="G39" s="33" t="str">
        <x:v>Foundational modern analysis and partial differential equations.</x:v>
      </x:c>
      <x:c r="H39" s="29" t="str">
        <x:v>Fields roster</x:v>
      </x:c>
    </x:row>
    <x:row r="40" ht="36" customHeight="1">
      <x:c r="A40" s="29" t="str">
        <x:v>Fields</x:v>
      </x:c>
      <x:c r="B40" s="33" t="str">
        <x:v>Alexander Grothendieck</x:v>
      </x:c>
      <x:c r="C40" s="35" t="n">
        <x:v>1966</x:v>
      </x:c>
      <x:c r="D40" s="36" t="str">
        <x:v>1966</x:v>
      </x:c>
      <x:c r="E40" s="36" t="str">
        <x:v>Person</x:v>
      </x:c>
      <x:c r="F40" s="37" t="str">
        <x:v>Clear</x:v>
      </x:c>
      <x:c r="G40" s="33" t="str">
        <x:v>Reconstructed algebraic geometry and its conceptual foundations.</x:v>
      </x:c>
      <x:c r="H40" s="29" t="str">
        <x:v>Fields roster</x:v>
      </x:c>
    </x:row>
    <x:row r="41" ht="36" customHeight="1">
      <x:c r="A41" s="29" t="str">
        <x:v>Fields</x:v>
      </x:c>
      <x:c r="B41" s="33" t="str">
        <x:v>Michael Francis Atiyah</x:v>
      </x:c>
      <x:c r="C41" s="35" t="n">
        <x:v>1966</x:v>
      </x:c>
      <x:c r="D41" s="36" t="str">
        <x:v>1966</x:v>
      </x:c>
      <x:c r="E41" s="36" t="str">
        <x:v>Person</x:v>
      </x:c>
      <x:c r="F41" s="37" t="str">
        <x:v>Clear</x:v>
      </x:c>
      <x:c r="G41" s="33" t="str">
        <x:v>Index theory and exceptionally broad geometric originality.</x:v>
      </x:c>
      <x:c r="H41" s="29" t="str">
        <x:v>Fields roster</x:v>
      </x:c>
    </x:row>
    <x:row r="42" ht="36" customHeight="1">
      <x:c r="A42" s="29" t="str">
        <x:v>Fields</x:v>
      </x:c>
      <x:c r="B42" s="33" t="str">
        <x:v>Paul Joseph Cohen</x:v>
      </x:c>
      <x:c r="C42" s="35" t="n">
        <x:v>1966</x:v>
      </x:c>
      <x:c r="D42" s="36" t="str">
        <x:v>1966</x:v>
      </x:c>
      <x:c r="E42" s="36" t="str">
        <x:v>Person</x:v>
      </x:c>
      <x:c r="F42" s="37" t="str">
        <x:v>Clear</x:v>
      </x:c>
      <x:c r="G42" s="33" t="str">
        <x:v>Forcing and independence as a radically new method.</x:v>
      </x:c>
      <x:c r="H42" s="29" t="str">
        <x:v>Fields roster</x:v>
      </x:c>
    </x:row>
    <x:row r="43" ht="36" customHeight="1">
      <x:c r="A43" s="29" t="str">
        <x:v>Fields</x:v>
      </x:c>
      <x:c r="B43" s="33" t="str">
        <x:v>Stephen Smale</x:v>
      </x:c>
      <x:c r="C43" s="35" t="n">
        <x:v>1966</x:v>
      </x:c>
      <x:c r="D43" s="36" t="str">
        <x:v>1966</x:v>
      </x:c>
      <x:c r="E43" s="36" t="str">
        <x:v>Person</x:v>
      </x:c>
      <x:c r="F43" s="37" t="str">
        <x:v>Clear</x:v>
      </x:c>
      <x:c r="G43" s="33" t="str">
        <x:v>Topology and dynamical systems.</x:v>
      </x:c>
      <x:c r="H43" s="29" t="str">
        <x:v>Fields roster</x:v>
      </x:c>
    </x:row>
    <x:row r="44" ht="36" customHeight="1">
      <x:c r="A44" s="29" t="str">
        <x:v>Fields</x:v>
      </x:c>
      <x:c r="B44" s="33" t="str">
        <x:v>Alan Baker</x:v>
      </x:c>
      <x:c r="C44" s="35" t="n">
        <x:v>1970</x:v>
      </x:c>
      <x:c r="D44" s="36" t="str">
        <x:v>1970</x:v>
      </x:c>
      <x:c r="E44" s="36" t="str">
        <x:v>Person</x:v>
      </x:c>
      <x:c r="F44" s="37" t="str">
        <x:v>Borderline</x:v>
      </x:c>
      <x:c r="G44" s="33" t="str">
        <x:v>Major original mathematics. I am less certain of equivalence to the user's very high benchmark.</x:v>
      </x:c>
      <x:c r="H44" s="29" t="str">
        <x:v>Fields roster</x:v>
      </x:c>
    </x:row>
    <x:row r="45" ht="36" customHeight="1">
      <x:c r="A45" s="29" t="str">
        <x:v>Fields</x:v>
      </x:c>
      <x:c r="B45" s="33" t="str">
        <x:v>Heisuke Hironaka</x:v>
      </x:c>
      <x:c r="C45" s="35" t="n">
        <x:v>1970</x:v>
      </x:c>
      <x:c r="D45" s="36" t="str">
        <x:v>1970</x:v>
      </x:c>
      <x:c r="E45" s="36" t="str">
        <x:v>Person</x:v>
      </x:c>
      <x:c r="F45" s="37" t="str">
        <x:v>Borderline</x:v>
      </x:c>
      <x:c r="G45" s="33" t="str">
        <x:v>Major original mathematics. I am less certain of equivalence to the user's very high benchmark.</x:v>
      </x:c>
      <x:c r="H45" s="29" t="str">
        <x:v>Fields roster</x:v>
      </x:c>
    </x:row>
    <x:row r="46" ht="36" customHeight="1">
      <x:c r="A46" s="29" t="str">
        <x:v>Fields</x:v>
      </x:c>
      <x:c r="B46" s="33" t="str">
        <x:v>John Griggs Thompson</x:v>
      </x:c>
      <x:c r="C46" s="35" t="n">
        <x:v>1970</x:v>
      </x:c>
      <x:c r="D46" s="36" t="str">
        <x:v>1970</x:v>
      </x:c>
      <x:c r="E46" s="36" t="str">
        <x:v>Person</x:v>
      </x:c>
      <x:c r="F46" s="37" t="str">
        <x:v>Clear</x:v>
      </x:c>
      <x:c r="G46" s="33" t="str">
        <x:v>Foundational finite-group theory.</x:v>
      </x:c>
      <x:c r="H46" s="29" t="str">
        <x:v>Fields roster</x:v>
      </x:c>
    </x:row>
    <x:row r="47" ht="36" customHeight="1">
      <x:c r="A47" s="29" t="str">
        <x:v>Fields</x:v>
      </x:c>
      <x:c r="B47" s="33" t="str">
        <x:v>Serge Novikov</x:v>
      </x:c>
      <x:c r="C47" s="35" t="n">
        <x:v>1970</x:v>
      </x:c>
      <x:c r="D47" s="36" t="str">
        <x:v>1970</x:v>
      </x:c>
      <x:c r="E47" s="36" t="str">
        <x:v>Person</x:v>
      </x:c>
      <x:c r="F47" s="37" t="str">
        <x:v>Clear</x:v>
      </x:c>
      <x:c r="G47" s="33" t="str">
        <x:v>Foundational topology and mathematical physics.</x:v>
      </x:c>
      <x:c r="H47" s="29" t="str">
        <x:v>Fields roster</x:v>
      </x:c>
    </x:row>
    <x:row r="48" ht="36" customHeight="1">
      <x:c r="A48" s="29" t="str">
        <x:v>Fields</x:v>
      </x:c>
      <x:c r="B48" s="33" t="str">
        <x:v>David Bryant Mumford</x:v>
      </x:c>
      <x:c r="C48" s="35" t="n">
        <x:v>1974</x:v>
      </x:c>
      <x:c r="D48" s="36" t="str">
        <x:v>1974</x:v>
      </x:c>
      <x:c r="E48" s="36" t="str">
        <x:v>Person</x:v>
      </x:c>
      <x:c r="F48" s="37" t="str">
        <x:v>Clear</x:v>
      </x:c>
      <x:c r="G48" s="33" t="str">
        <x:v>Foundational algebraic geometry and broad mathematical originality.</x:v>
      </x:c>
      <x:c r="H48" s="29" t="str">
        <x:v>Fields roster</x:v>
      </x:c>
    </x:row>
    <x:row r="49" ht="36" customHeight="1">
      <x:c r="A49" s="29" t="str">
        <x:v>Fields</x:v>
      </x:c>
      <x:c r="B49" s="33" t="str">
        <x:v>Enrico Bombieri</x:v>
      </x:c>
      <x:c r="C49" s="35" t="n">
        <x:v>1974</x:v>
      </x:c>
      <x:c r="D49" s="36" t="str">
        <x:v>1974</x:v>
      </x:c>
      <x:c r="E49" s="36" t="str">
        <x:v>Person</x:v>
      </x:c>
      <x:c r="F49" s="37" t="str">
        <x:v>Clear</x:v>
      </x:c>
      <x:c r="G49" s="33" t="str">
        <x:v>Exceptional breadth and depth in number theory.</x:v>
      </x:c>
      <x:c r="H49" s="29" t="str">
        <x:v>Fields roster</x:v>
      </x:c>
    </x:row>
    <x:row r="50" ht="36" customHeight="1">
      <x:c r="A50" s="29" t="str">
        <x:v>Fields</x:v>
      </x:c>
      <x:c r="B50" s="33" t="str">
        <x:v>Charles Louis Fefferman</x:v>
      </x:c>
      <x:c r="C50" s="35" t="n">
        <x:v>1978</x:v>
      </x:c>
      <x:c r="D50" s="36" t="str">
        <x:v>1978</x:v>
      </x:c>
      <x:c r="E50" s="36" t="str">
        <x:v>Person</x:v>
      </x:c>
      <x:c r="F50" s="37" t="str">
        <x:v>Clear</x:v>
      </x:c>
      <x:c r="G50" s="33" t="str">
        <x:v>Exceptional originality and breadth in analysis.</x:v>
      </x:c>
      <x:c r="H50" s="29" t="str">
        <x:v>Fields roster</x:v>
      </x:c>
    </x:row>
    <x:row r="51" ht="36" customHeight="1">
      <x:c r="A51" s="29" t="str">
        <x:v>Fields</x:v>
      </x:c>
      <x:c r="B51" s="33" t="str">
        <x:v>Daniel G. Quillen</x:v>
      </x:c>
      <x:c r="C51" s="35" t="n">
        <x:v>1978</x:v>
      </x:c>
      <x:c r="D51" s="36" t="str">
        <x:v>1978</x:v>
      </x:c>
      <x:c r="E51" s="36" t="str">
        <x:v>Person</x:v>
      </x:c>
      <x:c r="F51" s="37" t="str">
        <x:v>Clear</x:v>
      </x:c>
      <x:c r="G51" s="33" t="str">
        <x:v>Homotopical algebra and higher algebraic K-theory.</x:v>
      </x:c>
      <x:c r="H51" s="29" t="str">
        <x:v>Fields roster</x:v>
      </x:c>
    </x:row>
    <x:row r="52" ht="36" customHeight="1">
      <x:c r="A52" s="29" t="str">
        <x:v>Fields</x:v>
      </x:c>
      <x:c r="B52" s="33" t="str">
        <x:v>Gregori Alexandrovitch Margulis</x:v>
      </x:c>
      <x:c r="C52" s="35" t="n">
        <x:v>1978</x:v>
      </x:c>
      <x:c r="D52" s="36" t="str">
        <x:v>1978</x:v>
      </x:c>
      <x:c r="E52" s="36" t="str">
        <x:v>Person</x:v>
      </x:c>
      <x:c r="F52" s="37" t="str">
        <x:v>Clear</x:v>
      </x:c>
      <x:c r="G52" s="33" t="str">
        <x:v>Arithmeticity, rigidity and broad original mathematics.</x:v>
      </x:c>
      <x:c r="H52" s="29" t="str">
        <x:v>Fields roster</x:v>
      </x:c>
    </x:row>
    <x:row r="53" ht="36" customHeight="1">
      <x:c r="A53" s="29" t="str">
        <x:v>Fields</x:v>
      </x:c>
      <x:c r="B53" s="33" t="str">
        <x:v>Pierre René Deligne</x:v>
      </x:c>
      <x:c r="C53" s="35" t="n">
        <x:v>1978</x:v>
      </x:c>
      <x:c r="D53" s="36" t="str">
        <x:v>1978</x:v>
      </x:c>
      <x:c r="E53" s="36" t="str">
        <x:v>Person</x:v>
      </x:c>
      <x:c r="F53" s="37" t="str">
        <x:v>Clear</x:v>
      </x:c>
      <x:c r="G53" s="33" t="str">
        <x:v>Weil conjectures and foundational algebraic geometry.</x:v>
      </x:c>
      <x:c r="H53" s="29" t="str">
        <x:v>Fields roster</x:v>
      </x:c>
    </x:row>
    <x:row r="54" ht="36" customHeight="1">
      <x:c r="A54" s="29" t="str">
        <x:v>Fields</x:v>
      </x:c>
      <x:c r="B54" s="33" t="str">
        <x:v>Alain Connes</x:v>
      </x:c>
      <x:c r="C54" s="35" t="n">
        <x:v>1982</x:v>
      </x:c>
      <x:c r="D54" s="36" t="str">
        <x:v>1982</x:v>
      </x:c>
      <x:c r="E54" s="36" t="str">
        <x:v>Person</x:v>
      </x:c>
      <x:c r="F54" s="37" t="str">
        <x:v>Clear</x:v>
      </x:c>
      <x:c r="G54" s="33" t="str">
        <x:v>Operator algebras and noncommutative geometry.</x:v>
      </x:c>
      <x:c r="H54" s="29" t="str">
        <x:v>Fields roster</x:v>
      </x:c>
    </x:row>
    <x:row r="55" ht="36" customHeight="1">
      <x:c r="A55" s="29" t="str">
        <x:v>Fields</x:v>
      </x:c>
      <x:c r="B55" s="33" t="str">
        <x:v>Shing-Tung Yau</x:v>
      </x:c>
      <x:c r="C55" s="35" t="n">
        <x:v>1982</x:v>
      </x:c>
      <x:c r="D55" s="36" t="str">
        <x:v>1982</x:v>
      </x:c>
      <x:c r="E55" s="36" t="str">
        <x:v>Person</x:v>
      </x:c>
      <x:c r="F55" s="37" t="str">
        <x:v>Clear</x:v>
      </x:c>
      <x:c r="G55" s="33" t="str">
        <x:v>Foundational geometric analysis.</x:v>
      </x:c>
      <x:c r="H55" s="29" t="str">
        <x:v>Fields roster</x:v>
      </x:c>
    </x:row>
    <x:row r="56" ht="36" customHeight="1">
      <x:c r="A56" s="29" t="str">
        <x:v>Fields</x:v>
      </x:c>
      <x:c r="B56" s="33" t="str">
        <x:v>William P. Thurston</x:v>
      </x:c>
      <x:c r="C56" s="35" t="n">
        <x:v>1982</x:v>
      </x:c>
      <x:c r="D56" s="36" t="str">
        <x:v>1982</x:v>
      </x:c>
      <x:c r="E56" s="36" t="str">
        <x:v>Person</x:v>
      </x:c>
      <x:c r="F56" s="37" t="str">
        <x:v>Clear</x:v>
      </x:c>
      <x:c r="G56" s="33" t="str">
        <x:v>Radical reconception of three-dimensional geometry and topology.</x:v>
      </x:c>
      <x:c r="H56" s="29" t="str">
        <x:v>Fields roster</x:v>
      </x:c>
    </x:row>
    <x:row r="57" ht="36" customHeight="1">
      <x:c r="A57" s="29" t="str">
        <x:v>Fields</x:v>
      </x:c>
      <x:c r="B57" s="33" t="str">
        <x:v>Gerd Faltings</x:v>
      </x:c>
      <x:c r="C57" s="35" t="n">
        <x:v>1986</x:v>
      </x:c>
      <x:c r="D57" s="36" t="str">
        <x:v>1986</x:v>
      </x:c>
      <x:c r="E57" s="36" t="str">
        <x:v>Person</x:v>
      </x:c>
      <x:c r="F57" s="37" t="str">
        <x:v>Clear</x:v>
      </x:c>
      <x:c r="G57" s="33" t="str">
        <x:v>Mordell conjecture and foundational arithmetic geometry.</x:v>
      </x:c>
      <x:c r="H57" s="29" t="str">
        <x:v>Fields roster</x:v>
      </x:c>
    </x:row>
    <x:row r="58" ht="36" customHeight="1">
      <x:c r="A58" s="29" t="str">
        <x:v>Fields</x:v>
      </x:c>
      <x:c r="B58" s="33" t="str">
        <x:v>Michael H. Freedman</x:v>
      </x:c>
      <x:c r="C58" s="35" t="n">
        <x:v>1986</x:v>
      </x:c>
      <x:c r="D58" s="36" t="str">
        <x:v>1986</x:v>
      </x:c>
      <x:c r="E58" s="36" t="str">
        <x:v>Person</x:v>
      </x:c>
      <x:c r="F58" s="37" t="str">
        <x:v>Clear</x:v>
      </x:c>
      <x:c r="G58" s="33" t="str">
        <x:v>Four-dimensional topology and the topological Poincaré conjecture.</x:v>
      </x:c>
      <x:c r="H58" s="29" t="str">
        <x:v>Fields roster</x:v>
      </x:c>
    </x:row>
    <x:row r="59" ht="36" customHeight="1">
      <x:c r="A59" s="29" t="str">
        <x:v>Fields</x:v>
      </x:c>
      <x:c r="B59" s="33" t="str">
        <x:v>Simon K. Donaldson</x:v>
      </x:c>
      <x:c r="C59" s="35" t="n">
        <x:v>1986</x:v>
      </x:c>
      <x:c r="D59" s="36" t="str">
        <x:v>1986</x:v>
      </x:c>
      <x:c r="E59" s="36" t="str">
        <x:v>Person</x:v>
      </x:c>
      <x:c r="F59" s="37" t="str">
        <x:v>Clear</x:v>
      </x:c>
      <x:c r="G59" s="33" t="str">
        <x:v>Gauge-theoretic reconstruction of four-dimensional topology.</x:v>
      </x:c>
      <x:c r="H59" s="29" t="str">
        <x:v>Fields roster</x:v>
      </x:c>
    </x:row>
    <x:row r="60" ht="36" customHeight="1">
      <x:c r="A60" s="29" t="str">
        <x:v>Fields</x:v>
      </x:c>
      <x:c r="B60" s="33" t="str">
        <x:v>Edward Witten</x:v>
      </x:c>
      <x:c r="C60" s="35" t="n">
        <x:v>1990</x:v>
      </x:c>
      <x:c r="D60" s="36" t="str">
        <x:v>1990</x:v>
      </x:c>
      <x:c r="E60" s="36" t="str">
        <x:v>Person</x:v>
      </x:c>
      <x:c r="F60" s="37" t="str">
        <x:v>Clear</x:v>
      </x:c>
      <x:c r="G60" s="33" t="str">
        <x:v>Exceptional conceptual mathematical physics.</x:v>
      </x:c>
      <x:c r="H60" s="29" t="str">
        <x:v>Fields roster</x:v>
      </x:c>
    </x:row>
    <x:row r="61" ht="36" customHeight="1">
      <x:c r="A61" s="29" t="str">
        <x:v>Fields</x:v>
      </x:c>
      <x:c r="B61" s="33" t="str">
        <x:v>Shigefumi Mori</x:v>
      </x:c>
      <x:c r="C61" s="35" t="n">
        <x:v>1990</x:v>
      </x:c>
      <x:c r="D61" s="36" t="str">
        <x:v>1990</x:v>
      </x:c>
      <x:c r="E61" s="36" t="str">
        <x:v>Person</x:v>
      </x:c>
      <x:c r="F61" s="37" t="str">
        <x:v>Borderline</x:v>
      </x:c>
      <x:c r="G61" s="33" t="str">
        <x:v>Major original mathematics. I am less certain of equivalence to the user's very high benchmark.</x:v>
      </x:c>
      <x:c r="H61" s="29" t="str">
        <x:v>Fields roster</x:v>
      </x:c>
    </x:row>
    <x:row r="62" ht="36" customHeight="1">
      <x:c r="A62" s="29" t="str">
        <x:v>Fields</x:v>
      </x:c>
      <x:c r="B62" s="33" t="str">
        <x:v>Vaughan F.R. Jones</x:v>
      </x:c>
      <x:c r="C62" s="35" t="n">
        <x:v>1990</x:v>
      </x:c>
      <x:c r="D62" s="36" t="str">
        <x:v>1990</x:v>
      </x:c>
      <x:c r="E62" s="36" t="str">
        <x:v>Person</x:v>
      </x:c>
      <x:c r="F62" s="37" t="str">
        <x:v>Borderline</x:v>
      </x:c>
      <x:c r="G62" s="33" t="str">
        <x:v>Major original mathematics. I am less certain of equivalence to the user's very high benchmark.</x:v>
      </x:c>
      <x:c r="H62" s="29" t="str">
        <x:v>Fields roster</x:v>
      </x:c>
    </x:row>
    <x:row r="63" ht="36" customHeight="1">
      <x:c r="A63" s="29" t="str">
        <x:v>Fields</x:v>
      </x:c>
      <x:c r="B63" s="33" t="str">
        <x:v>Vladimir Drinfeld</x:v>
      </x:c>
      <x:c r="C63" s="35" t="n">
        <x:v>1990</x:v>
      </x:c>
      <x:c r="D63" s="36" t="str">
        <x:v>1990</x:v>
      </x:c>
      <x:c r="E63" s="36" t="str">
        <x:v>Person</x:v>
      </x:c>
      <x:c r="F63" s="37" t="str">
        <x:v>Clear</x:v>
      </x:c>
      <x:c r="G63" s="33" t="str">
        <x:v>Broad foundational arithmetic geometry and mathematical physics.</x:v>
      </x:c>
      <x:c r="H63" s="29" t="str">
        <x:v>Fields roster</x:v>
      </x:c>
    </x:row>
    <x:row r="64" ht="36" customHeight="1">
      <x:c r="A64" s="29" t="str">
        <x:v>Fields</x:v>
      </x:c>
      <x:c r="B64" s="33" t="str">
        <x:v>Efim Zelmanov</x:v>
      </x:c>
      <x:c r="C64" s="35" t="n">
        <x:v>1994</x:v>
      </x:c>
      <x:c r="D64" s="36" t="str">
        <x:v>1994</x:v>
      </x:c>
      <x:c r="E64" s="36" t="str">
        <x:v>Person</x:v>
      </x:c>
      <x:c r="F64" s="37" t="str">
        <x:v>Borderline</x:v>
      </x:c>
      <x:c r="G64" s="33" t="str">
        <x:v>Major original mathematics. I am less certain of equivalence to the user's very high benchmark.</x:v>
      </x:c>
      <x:c r="H64" s="29" t="str">
        <x:v>Fields roster</x:v>
      </x:c>
    </x:row>
    <x:row r="65" ht="36" customHeight="1">
      <x:c r="A65" s="29" t="str">
        <x:v>Fields</x:v>
      </x:c>
      <x:c r="B65" s="33" t="str">
        <x:v>Jean Bourgain</x:v>
      </x:c>
      <x:c r="C65" s="35" t="n">
        <x:v>1994</x:v>
      </x:c>
      <x:c r="D65" s="36" t="str">
        <x:v>1994</x:v>
      </x:c>
      <x:c r="E65" s="36" t="str">
        <x:v>Person</x:v>
      </x:c>
      <x:c r="F65" s="37" t="str">
        <x:v>Clear</x:v>
      </x:c>
      <x:c r="G65" s="33" t="str">
        <x:v>Extraordinary original breadth across analysis.</x:v>
      </x:c>
      <x:c r="H65" s="29" t="str">
        <x:v>Fields roster</x:v>
      </x:c>
    </x:row>
    <x:row r="66" ht="36" customHeight="1">
      <x:c r="A66" s="29" t="str">
        <x:v>Fields</x:v>
      </x:c>
      <x:c r="B66" s="33" t="str">
        <x:v>Jean-Christophe Yoccoz</x:v>
      </x:c>
      <x:c r="C66" s="35" t="n">
        <x:v>1994</x:v>
      </x:c>
      <x:c r="D66" s="36" t="str">
        <x:v>1994</x:v>
      </x:c>
      <x:c r="E66" s="36" t="str">
        <x:v>Person</x:v>
      </x:c>
      <x:c r="F66" s="37" t="str">
        <x:v>Borderline</x:v>
      </x:c>
      <x:c r="G66" s="33" t="str">
        <x:v>Major original mathematics. I am less certain of equivalence to the user's very high benchmark.</x:v>
      </x:c>
      <x:c r="H66" s="29" t="str">
        <x:v>Fields roster</x:v>
      </x:c>
    </x:row>
    <x:row r="67" ht="36" customHeight="1">
      <x:c r="A67" s="29" t="str">
        <x:v>Fields</x:v>
      </x:c>
      <x:c r="B67" s="33" t="str">
        <x:v>Pierre-Louis Lions</x:v>
      </x:c>
      <x:c r="C67" s="35" t="n">
        <x:v>1994</x:v>
      </x:c>
      <x:c r="D67" s="36" t="str">
        <x:v>1994</x:v>
      </x:c>
      <x:c r="E67" s="36" t="str">
        <x:v>Person</x:v>
      </x:c>
      <x:c r="F67" s="37" t="str">
        <x:v>Borderline</x:v>
      </x:c>
      <x:c r="G67" s="33" t="str">
        <x:v>Major original mathematics. I am less certain of equivalence to the user's very high benchmark.</x:v>
      </x:c>
      <x:c r="H67" s="29" t="str">
        <x:v>Fields roster</x:v>
      </x:c>
    </x:row>
    <x:row r="68" ht="36" customHeight="1">
      <x:c r="A68" s="29" t="str">
        <x:v>Fields</x:v>
      </x:c>
      <x:c r="B68" s="33" t="str">
        <x:v>Curtis T. Mcmullen</x:v>
      </x:c>
      <x:c r="C68" s="35" t="n">
        <x:v>1998</x:v>
      </x:c>
      <x:c r="D68" s="36" t="str">
        <x:v>1998</x:v>
      </x:c>
      <x:c r="E68" s="36" t="str">
        <x:v>Person</x:v>
      </x:c>
      <x:c r="F68" s="37" t="str">
        <x:v>Borderline</x:v>
      </x:c>
      <x:c r="G68" s="33" t="str">
        <x:v>Major original mathematics. I am less certain of equivalence to the user's very high benchmark.</x:v>
      </x:c>
      <x:c r="H68" s="29" t="str">
        <x:v>Fields roster</x:v>
      </x:c>
    </x:row>
    <x:row r="69" ht="36" customHeight="1">
      <x:c r="A69" s="29" t="str">
        <x:v>Fields</x:v>
      </x:c>
      <x:c r="B69" s="33" t="str">
        <x:v>Maxim Kontsevich</x:v>
      </x:c>
      <x:c r="C69" s="35" t="n">
        <x:v>1998</x:v>
      </x:c>
      <x:c r="D69" s="36" t="str">
        <x:v>1998</x:v>
      </x:c>
      <x:c r="E69" s="36" t="str">
        <x:v>Person</x:v>
      </x:c>
      <x:c r="F69" s="37" t="str">
        <x:v>Clear</x:v>
      </x:c>
      <x:c r="G69" s="33" t="str">
        <x:v>Foundational ideas across geometry, topology and mathematical physics.</x:v>
      </x:c>
      <x:c r="H69" s="29" t="str">
        <x:v>Fields roster</x:v>
      </x:c>
    </x:row>
    <x:row r="70" ht="36" customHeight="1">
      <x:c r="A70" s="29" t="str">
        <x:v>Fields</x:v>
      </x:c>
      <x:c r="B70" s="33" t="str">
        <x:v>Richard E. Borcherds</x:v>
      </x:c>
      <x:c r="C70" s="35" t="n">
        <x:v>1998</x:v>
      </x:c>
      <x:c r="D70" s="36" t="str">
        <x:v>1998</x:v>
      </x:c>
      <x:c r="E70" s="36" t="str">
        <x:v>Person</x:v>
      </x:c>
      <x:c r="F70" s="37" t="str">
        <x:v>Borderline</x:v>
      </x:c>
      <x:c r="G70" s="33" t="str">
        <x:v>Major original mathematics. I am less certain of equivalence to the user's very high benchmark.</x:v>
      </x:c>
      <x:c r="H70" s="29" t="str">
        <x:v>Fields roster</x:v>
      </x:c>
    </x:row>
    <x:row r="71" ht="36" customHeight="1">
      <x:c r="A71" s="29" t="str">
        <x:v>Fields</x:v>
      </x:c>
      <x:c r="B71" s="33" t="str">
        <x:v>W. Timothy Gowers</x:v>
      </x:c>
      <x:c r="C71" s="35" t="n">
        <x:v>1998</x:v>
      </x:c>
      <x:c r="D71" s="36" t="str">
        <x:v>1998</x:v>
      </x:c>
      <x:c r="E71" s="36" t="str">
        <x:v>Person</x:v>
      </x:c>
      <x:c r="F71" s="37" t="str">
        <x:v>Clear</x:v>
      </x:c>
      <x:c r="G71" s="33" t="str">
        <x:v>New conceptual methods in Banach spaces and additive combinatorics.</x:v>
      </x:c>
      <x:c r="H71" s="29" t="str">
        <x:v>Fields roster</x:v>
      </x:c>
    </x:row>
    <x:row r="72" ht="36" customHeight="1">
      <x:c r="A72" s="29" t="str">
        <x:v>Fields</x:v>
      </x:c>
      <x:c r="B72" s="33" t="str">
        <x:v>Laurent Lafforgue</x:v>
      </x:c>
      <x:c r="C72" s="35" t="n">
        <x:v>2002</x:v>
      </x:c>
      <x:c r="D72" s="36" t="str">
        <x:v>2002</x:v>
      </x:c>
      <x:c r="E72" s="36" t="str">
        <x:v>Person</x:v>
      </x:c>
      <x:c r="F72" s="37" t="str">
        <x:v>Borderline</x:v>
      </x:c>
      <x:c r="G72" s="33" t="str">
        <x:v>Major original mathematics. I am less certain of equivalence to the user's very high benchmark.</x:v>
      </x:c>
      <x:c r="H72" s="29" t="str">
        <x:v>Fields roster</x:v>
      </x:c>
    </x:row>
    <x:row r="73" ht="36" customHeight="1">
      <x:c r="A73" s="29" t="str">
        <x:v>Fields</x:v>
      </x:c>
      <x:c r="B73" s="33" t="str">
        <x:v>Vladimir Voevodsky</x:v>
      </x:c>
      <x:c r="C73" s="35" t="n">
        <x:v>2002</x:v>
      </x:c>
      <x:c r="D73" s="36" t="str">
        <x:v>2002</x:v>
      </x:c>
      <x:c r="E73" s="36" t="str">
        <x:v>Person</x:v>
      </x:c>
      <x:c r="F73" s="37" t="str">
        <x:v>Clear</x:v>
      </x:c>
      <x:c r="G73" s="33" t="str">
        <x:v>Motivic homotopy theory and new mathematical foundations.</x:v>
      </x:c>
      <x:c r="H73" s="29" t="str">
        <x:v>Fields roster</x:v>
      </x:c>
    </x:row>
    <x:row r="74" ht="36" customHeight="1">
      <x:c r="A74" s="29" t="str">
        <x:v>Fields</x:v>
      </x:c>
      <x:c r="B74" s="33" t="str">
        <x:v>Andrei Okounkov</x:v>
      </x:c>
      <x:c r="C74" s="35" t="n">
        <x:v>2006</x:v>
      </x:c>
      <x:c r="D74" s="36" t="str">
        <x:v>2006</x:v>
      </x:c>
      <x:c r="E74" s="36" t="str">
        <x:v>Person</x:v>
      </x:c>
      <x:c r="F74" s="37" t="str">
        <x:v>Borderline</x:v>
      </x:c>
      <x:c r="G74" s="33" t="str">
        <x:v>Major original mathematics. I am less certain of equivalence to the user's very high benchmark.</x:v>
      </x:c>
      <x:c r="H74" s="29" t="str">
        <x:v>Fields roster</x:v>
      </x:c>
    </x:row>
    <x:row r="75" ht="36" customHeight="1">
      <x:c r="A75" s="29" t="str">
        <x:v>Fields</x:v>
      </x:c>
      <x:c r="B75" s="33" t="str">
        <x:v>Grigori Perelman</x:v>
      </x:c>
      <x:c r="C75" s="35" t="n">
        <x:v>2006</x:v>
      </x:c>
      <x:c r="D75" s="36" t="str">
        <x:v>2006</x:v>
      </x:c>
      <x:c r="E75" s="36" t="str">
        <x:v>Person</x:v>
      </x:c>
      <x:c r="F75" s="37" t="str">
        <x:v>Clear</x:v>
      </x:c>
      <x:c r="G75" s="33" t="str">
        <x:v>Geometrization through radical geometric-analysis insights.</x:v>
      </x:c>
      <x:c r="H75" s="29" t="str">
        <x:v>Fields roster</x:v>
      </x:c>
    </x:row>
    <x:row r="76" ht="36" customHeight="1">
      <x:c r="A76" s="29" t="str">
        <x:v>Fields</x:v>
      </x:c>
      <x:c r="B76" s="33" t="str">
        <x:v>Terence Tao</x:v>
      </x:c>
      <x:c r="C76" s="35" t="n">
        <x:v>2006</x:v>
      </x:c>
      <x:c r="D76" s="36" t="str">
        <x:v>2006</x:v>
      </x:c>
      <x:c r="E76" s="36" t="str">
        <x:v>Person</x:v>
      </x:c>
      <x:c r="F76" s="37" t="str">
        <x:v>Clear</x:v>
      </x:c>
      <x:c r="G76" s="33" t="str">
        <x:v>Exceptional breadth and originality across mathematics.</x:v>
      </x:c>
      <x:c r="H76" s="29" t="str">
        <x:v>Fields roster</x:v>
      </x:c>
    </x:row>
    <x:row r="77" ht="36" customHeight="1">
      <x:c r="A77" s="29" t="str">
        <x:v>Fields</x:v>
      </x:c>
      <x:c r="B77" s="33" t="str">
        <x:v>Wendelin Werner</x:v>
      </x:c>
      <x:c r="C77" s="35" t="n">
        <x:v>2006</x:v>
      </x:c>
      <x:c r="D77" s="36" t="str">
        <x:v>2006</x:v>
      </x:c>
      <x:c r="E77" s="36" t="str">
        <x:v>Person</x:v>
      </x:c>
      <x:c r="F77" s="37" t="str">
        <x:v>Borderline</x:v>
      </x:c>
      <x:c r="G77" s="33" t="str">
        <x:v>Major original mathematics. I am less certain of equivalence to the user's very high benchmark.</x:v>
      </x:c>
      <x:c r="H77" s="29" t="str">
        <x:v>Fields roster</x:v>
      </x:c>
    </x:row>
    <x:row r="78" ht="36" customHeight="1">
      <x:c r="A78" s="29" t="str">
        <x:v>Fields</x:v>
      </x:c>
      <x:c r="B78" s="33" t="str">
        <x:v>Cédric Villani</x:v>
      </x:c>
      <x:c r="C78" s="35" t="n">
        <x:v>2010</x:v>
      </x:c>
      <x:c r="D78" s="36" t="str">
        <x:v>2010</x:v>
      </x:c>
      <x:c r="E78" s="36" t="str">
        <x:v>Person</x:v>
      </x:c>
      <x:c r="F78" s="37" t="str">
        <x:v>Borderline</x:v>
      </x:c>
      <x:c r="G78" s="33" t="str">
        <x:v>Major original mathematics. I am less certain of equivalence to the user's very high benchmark.</x:v>
      </x:c>
      <x:c r="H78" s="29" t="str">
        <x:v>Fields roster</x:v>
      </x:c>
    </x:row>
    <x:row r="79" ht="36" customHeight="1">
      <x:c r="A79" s="29" t="str">
        <x:v>Fields</x:v>
      </x:c>
      <x:c r="B79" s="33" t="str">
        <x:v>Elon Lindenstrauss</x:v>
      </x:c>
      <x:c r="C79" s="35" t="n">
        <x:v>2010</x:v>
      </x:c>
      <x:c r="D79" s="36" t="str">
        <x:v>2010</x:v>
      </x:c>
      <x:c r="E79" s="36" t="str">
        <x:v>Person</x:v>
      </x:c>
      <x:c r="F79" s="37" t="str">
        <x:v>Borderline</x:v>
      </x:c>
      <x:c r="G79" s="33" t="str">
        <x:v>Major original mathematics. I am less certain of equivalence to the user's very high benchmark.</x:v>
      </x:c>
      <x:c r="H79" s="29" t="str">
        <x:v>Fields roster</x:v>
      </x:c>
    </x:row>
    <x:row r="80" ht="36" customHeight="1">
      <x:c r="A80" s="29" t="str">
        <x:v>Fields</x:v>
      </x:c>
      <x:c r="B80" s="33" t="str">
        <x:v>Ngô Bào Châu</x:v>
      </x:c>
      <x:c r="C80" s="35" t="n">
        <x:v>2010</x:v>
      </x:c>
      <x:c r="D80" s="36" t="str">
        <x:v>2010</x:v>
      </x:c>
      <x:c r="E80" s="36" t="str">
        <x:v>Person</x:v>
      </x:c>
      <x:c r="F80" s="37" t="str">
        <x:v>Borderline</x:v>
      </x:c>
      <x:c r="G80" s="33" t="str">
        <x:v>Major original mathematics. I am less certain of equivalence to the user's very high benchmark.</x:v>
      </x:c>
      <x:c r="H80" s="29" t="str">
        <x:v>Fields roster</x:v>
      </x:c>
    </x:row>
    <x:row r="81" ht="36" customHeight="1">
      <x:c r="A81" s="29" t="str">
        <x:v>Fields</x:v>
      </x:c>
      <x:c r="B81" s="33" t="str">
        <x:v>Stanislav Smirnov</x:v>
      </x:c>
      <x:c r="C81" s="35" t="n">
        <x:v>2010</x:v>
      </x:c>
      <x:c r="D81" s="36" t="str">
        <x:v>2010</x:v>
      </x:c>
      <x:c r="E81" s="36" t="str">
        <x:v>Person</x:v>
      </x:c>
      <x:c r="F81" s="37" t="str">
        <x:v>Borderline</x:v>
      </x:c>
      <x:c r="G81" s="33" t="str">
        <x:v>Major original mathematics. I am less certain of equivalence to the user's very high benchmark.</x:v>
      </x:c>
      <x:c r="H81" s="29" t="str">
        <x:v>Fields roster</x:v>
      </x:c>
    </x:row>
    <x:row r="82" ht="36" customHeight="1">
      <x:c r="A82" s="29" t="str">
        <x:v>Fields</x:v>
      </x:c>
      <x:c r="B82" s="33" t="str">
        <x:v>Artur Avila</x:v>
      </x:c>
      <x:c r="C82" s="35" t="n">
        <x:v>2014</x:v>
      </x:c>
      <x:c r="D82" s="36" t="str">
        <x:v>2014</x:v>
      </x:c>
      <x:c r="E82" s="36" t="str">
        <x:v>Person</x:v>
      </x:c>
      <x:c r="F82" s="37" t="str">
        <x:v>Borderline</x:v>
      </x:c>
      <x:c r="G82" s="33" t="str">
        <x:v>Major original mathematics. I am less certain of equivalence to the user's very high benchmark.</x:v>
      </x:c>
      <x:c r="H82" s="29" t="str">
        <x:v>Fields roster</x:v>
      </x:c>
    </x:row>
    <x:row r="83" ht="36" customHeight="1">
      <x:c r="A83" s="29" t="str">
        <x:v>Fields</x:v>
      </x:c>
      <x:c r="B83" s="33" t="str">
        <x:v>Manjul Bhargava</x:v>
      </x:c>
      <x:c r="C83" s="35" t="n">
        <x:v>2014</x:v>
      </x:c>
      <x:c r="D83" s="36" t="str">
        <x:v>2014</x:v>
      </x:c>
      <x:c r="E83" s="36" t="str">
        <x:v>Person</x:v>
      </x:c>
      <x:c r="F83" s="37" t="str">
        <x:v>Clear</x:v>
      </x:c>
      <x:c r="G83" s="33" t="str">
        <x:v>New composition laws and original arithmetic methods.</x:v>
      </x:c>
      <x:c r="H83" s="29" t="str">
        <x:v>Fields roster</x:v>
      </x:c>
    </x:row>
    <x:row r="84" ht="36" customHeight="1">
      <x:c r="A84" s="29" t="str">
        <x:v>Fields</x:v>
      </x:c>
      <x:c r="B84" s="33" t="str">
        <x:v>Martin Hairer</x:v>
      </x:c>
      <x:c r="C84" s="35" t="n">
        <x:v>2014</x:v>
      </x:c>
      <x:c r="D84" s="36" t="str">
        <x:v>2014</x:v>
      </x:c>
      <x:c r="E84" s="36" t="str">
        <x:v>Person</x:v>
      </x:c>
      <x:c r="F84" s="37" t="str">
        <x:v>Clear</x:v>
      </x:c>
      <x:c r="G84" s="33" t="str">
        <x:v>Regularity structures and a new theory of singular stochastic equations.</x:v>
      </x:c>
      <x:c r="H84" s="29" t="str">
        <x:v>Fields roster</x:v>
      </x:c>
    </x:row>
    <x:row r="85" ht="36" customHeight="1">
      <x:c r="A85" s="29" t="str">
        <x:v>Fields</x:v>
      </x:c>
      <x:c r="B85" s="33" t="str">
        <x:v>Maryam Mirzakhani</x:v>
      </x:c>
      <x:c r="C85" s="35" t="n">
        <x:v>2014</x:v>
      </x:c>
      <x:c r="D85" s="36" t="str">
        <x:v>2014</x:v>
      </x:c>
      <x:c r="E85" s="36" t="str">
        <x:v>Person</x:v>
      </x:c>
      <x:c r="F85" s="37" t="str">
        <x:v>Clear</x:v>
      </x:c>
      <x:c r="G85" s="33" t="str">
        <x:v>Exceptionally original geometry and dynamics of moduli spaces.</x:v>
      </x:c>
      <x:c r="H85" s="29" t="str">
        <x:v>Fields roster</x:v>
      </x:c>
    </x:row>
    <x:row r="86" ht="36" customHeight="1">
      <x:c r="A86" s="29" t="str">
        <x:v>Fields</x:v>
      </x:c>
      <x:c r="B86" s="33" t="str">
        <x:v>Akshay Venkatesh</x:v>
      </x:c>
      <x:c r="C86" s="35" t="n">
        <x:v>2018</x:v>
      </x:c>
      <x:c r="D86" s="36" t="str">
        <x:v>2018</x:v>
      </x:c>
      <x:c r="E86" s="36" t="str">
        <x:v>Person</x:v>
      </x:c>
      <x:c r="F86" s="37" t="str">
        <x:v>Borderline</x:v>
      </x:c>
      <x:c r="G86" s="33" t="str">
        <x:v>Major original mathematics. I am less certain of equivalence to the user's very high benchmark.</x:v>
      </x:c>
      <x:c r="H86" s="29" t="str">
        <x:v>Fields roster</x:v>
      </x:c>
    </x:row>
    <x:row r="87" ht="36" customHeight="1">
      <x:c r="A87" s="29" t="str">
        <x:v>Fields</x:v>
      </x:c>
      <x:c r="B87" s="33" t="str">
        <x:v>Alessio Figalli</x:v>
      </x:c>
      <x:c r="C87" s="35" t="n">
        <x:v>2018</x:v>
      </x:c>
      <x:c r="D87" s="36" t="str">
        <x:v>2018</x:v>
      </x:c>
      <x:c r="E87" s="36" t="str">
        <x:v>Person</x:v>
      </x:c>
      <x:c r="F87" s="37" t="str">
        <x:v>Borderline</x:v>
      </x:c>
      <x:c r="G87" s="33" t="str">
        <x:v>Major original mathematics. I am less certain of equivalence to the user's very high benchmark.</x:v>
      </x:c>
      <x:c r="H87" s="29" t="str">
        <x:v>Fields roster</x:v>
      </x:c>
    </x:row>
    <x:row r="88" ht="36" customHeight="1">
      <x:c r="A88" s="29" t="str">
        <x:v>Fields</x:v>
      </x:c>
      <x:c r="B88" s="33" t="str">
        <x:v>Caucher Birkar</x:v>
      </x:c>
      <x:c r="C88" s="35" t="n">
        <x:v>2018</x:v>
      </x:c>
      <x:c r="D88" s="36" t="str">
        <x:v>2018</x:v>
      </x:c>
      <x:c r="E88" s="36" t="str">
        <x:v>Person</x:v>
      </x:c>
      <x:c r="F88" s="37" t="str">
        <x:v>Borderline</x:v>
      </x:c>
      <x:c r="G88" s="33" t="str">
        <x:v>Major original mathematics. I am less certain of equivalence to the user's very high benchmark.</x:v>
      </x:c>
      <x:c r="H88" s="29" t="str">
        <x:v>Fields roster</x:v>
      </x:c>
    </x:row>
    <x:row r="89" ht="36" customHeight="1">
      <x:c r="A89" s="29" t="str">
        <x:v>Fields</x:v>
      </x:c>
      <x:c r="B89" s="33" t="str">
        <x:v>Peter Scholze</x:v>
      </x:c>
      <x:c r="C89" s="35" t="n">
        <x:v>2018</x:v>
      </x:c>
      <x:c r="D89" s="36" t="str">
        <x:v>2018</x:v>
      </x:c>
      <x:c r="E89" s="36" t="str">
        <x:v>Person</x:v>
      </x:c>
      <x:c r="F89" s="37" t="str">
        <x:v>Clear</x:v>
      </x:c>
      <x:c r="G89" s="33" t="str">
        <x:v>Perfectoid spaces and broad foundational arithmetic geometry.</x:v>
      </x:c>
      <x:c r="H89" s="29" t="str">
        <x:v>Fields roster</x:v>
      </x:c>
    </x:row>
    <x:row r="90" ht="36" customHeight="1">
      <x:c r="A90" s="29" t="str">
        <x:v>Fields</x:v>
      </x:c>
      <x:c r="B90" s="33" t="str">
        <x:v>Hugo Duminil-Copin</x:v>
      </x:c>
      <x:c r="C90" s="35" t="n">
        <x:v>2022</x:v>
      </x:c>
      <x:c r="D90" s="36" t="str">
        <x:v>2022</x:v>
      </x:c>
      <x:c r="E90" s="36" t="str">
        <x:v>Person</x:v>
      </x:c>
      <x:c r="F90" s="37" t="str">
        <x:v>Borderline</x:v>
      </x:c>
      <x:c r="G90" s="33" t="str">
        <x:v>Major original mathematics. I am less certain of equivalence to the user's very high benchmark.</x:v>
      </x:c>
      <x:c r="H90" s="29" t="str">
        <x:v>Fields roster</x:v>
      </x:c>
    </x:row>
    <x:row r="91" ht="36" customHeight="1">
      <x:c r="A91" s="29" t="str">
        <x:v>Fields</x:v>
      </x:c>
      <x:c r="B91" s="33" t="str">
        <x:v>James Maynard</x:v>
      </x:c>
      <x:c r="C91" s="35" t="n">
        <x:v>2022</x:v>
      </x:c>
      <x:c r="D91" s="36" t="str">
        <x:v>2022</x:v>
      </x:c>
      <x:c r="E91" s="36" t="str">
        <x:v>Person</x:v>
      </x:c>
      <x:c r="F91" s="37" t="str">
        <x:v>Borderline</x:v>
      </x:c>
      <x:c r="G91" s="33" t="str">
        <x:v>Major original mathematics. I am less certain of equivalence to the user's very high benchmark.</x:v>
      </x:c>
      <x:c r="H91" s="29" t="str">
        <x:v>Fields roster</x:v>
      </x:c>
    </x:row>
    <x:row r="92" ht="36" customHeight="1">
      <x:c r="A92" s="29" t="str">
        <x:v>Fields</x:v>
      </x:c>
      <x:c r="B92" s="33" t="str">
        <x:v>June Huh</x:v>
      </x:c>
      <x:c r="C92" s="35" t="n">
        <x:v>2022</x:v>
      </x:c>
      <x:c r="D92" s="36" t="str">
        <x:v>2022</x:v>
      </x:c>
      <x:c r="E92" s="36" t="str">
        <x:v>Person</x:v>
      </x:c>
      <x:c r="F92" s="37" t="str">
        <x:v>Borderline</x:v>
      </x:c>
      <x:c r="G92" s="33" t="str">
        <x:v>Major original mathematics. I am less certain of equivalence to the user's very high benchmark.</x:v>
      </x:c>
      <x:c r="H92" s="29" t="str">
        <x:v>Fields roster</x:v>
      </x:c>
    </x:row>
    <x:row r="93" ht="36" customHeight="1">
      <x:c r="A93" s="29" t="str">
        <x:v>Fields</x:v>
      </x:c>
      <x:c r="B93" s="33" t="str">
        <x:v>Maryna Viazovska</x:v>
      </x:c>
      <x:c r="C93" s="35" t="n">
        <x:v>2022</x:v>
      </x:c>
      <x:c r="D93" s="36" t="str">
        <x:v>2022</x:v>
      </x:c>
      <x:c r="E93" s="36" t="str">
        <x:v>Person</x:v>
      </x:c>
      <x:c r="F93" s="37" t="str">
        <x:v>Clear</x:v>
      </x:c>
      <x:c r="G93" s="33" t="str">
        <x:v>Radically original exact sphere-packing constructions.</x:v>
      </x:c>
      <x:c r="H93" s="29" t="str">
        <x:v>Fields roster</x:v>
      </x:c>
    </x:row>
    <x:row r="94" ht="36" customHeight="1">
      <x:c r="A94" s="29" t="str">
        <x:v>Turing</x:v>
      </x:c>
      <x:c r="B94" s="33" t="str">
        <x:v>Alan Perlis</x:v>
      </x:c>
      <x:c r="C94" s="35" t="n">
        <x:v>1966</x:v>
      </x:c>
      <x:c r="D94" s="36" t="str">
        <x:v>1966</x:v>
      </x:c>
      <x:c r="E94" s="36" t="str">
        <x:v>Person</x:v>
      </x:c>
      <x:c r="F94" s="37" t="str">
        <x:v>Borderline</x:v>
      </x:c>
      <x:c r="G94" s="33" t="str">
        <x:v>Strong case for exceptional originality, but I am less certain of equivalence to the user's very high benchmark.</x:v>
      </x:c>
      <x:c r="H94" s="29" t="str">
        <x:v>Turing roster</x:v>
      </x:c>
    </x:row>
    <x:row r="95" ht="36" customHeight="1">
      <x:c r="A95" s="29" t="str">
        <x:v>Turing</x:v>
      </x:c>
      <x:c r="B95" s="33" t="str">
        <x:v>Maurice Wilkes</x:v>
      </x:c>
      <x:c r="C95" s="35" t="n">
        <x:v>1967</x:v>
      </x:c>
      <x:c r="D95" s="36" t="str">
        <x:v>1967</x:v>
      </x:c>
      <x:c r="E95" s="36" t="str">
        <x:v>Person</x:v>
      </x:c>
      <x:c r="F95" s="37" t="str">
        <x:v>Borderline</x:v>
      </x:c>
      <x:c r="G95" s="33" t="str">
        <x:v>Strong case for exceptional originality, but I am less certain of equivalence to the user's very high benchmark.</x:v>
      </x:c>
      <x:c r="H95" s="29" t="str">
        <x:v>Turing roster</x:v>
      </x:c>
    </x:row>
    <x:row r="96" ht="36" customHeight="1">
      <x:c r="A96" s="29" t="str">
        <x:v>Turing</x:v>
      </x:c>
      <x:c r="B96" s="33" t="str">
        <x:v>Richard Hamming</x:v>
      </x:c>
      <x:c r="C96" s="35" t="n">
        <x:v>1968</x:v>
      </x:c>
      <x:c r="D96" s="36" t="str">
        <x:v>1968</x:v>
      </x:c>
      <x:c r="E96" s="36" t="str">
        <x:v>Person</x:v>
      </x:c>
      <x:c r="F96" s="37" t="str">
        <x:v>Clear</x:v>
      </x:c>
      <x:c r="G96" s="33" t="str">
        <x:v>Error-correcting codes and original numerical methods.</x:v>
      </x:c>
      <x:c r="H96" s="29" t="str">
        <x:v>Turing roster</x:v>
      </x:c>
    </x:row>
    <x:row r="97" ht="36" customHeight="1">
      <x:c r="A97" s="29" t="str">
        <x:v>Turing</x:v>
      </x:c>
      <x:c r="B97" s="33" t="str">
        <x:v>Marvin Minsky</x:v>
      </x:c>
      <x:c r="C97" s="35" t="n">
        <x:v>1969</x:v>
      </x:c>
      <x:c r="D97" s="36" t="str">
        <x:v>1969</x:v>
      </x:c>
      <x:c r="E97" s="36" t="str">
        <x:v>Person</x:v>
      </x:c>
      <x:c r="F97" s="37" t="str">
        <x:v>Clear</x:v>
      </x:c>
      <x:c r="G97" s="33" t="str">
        <x:v>Foundational and broad original artificial-intelligence ideas.</x:v>
      </x:c>
      <x:c r="H97" s="29" t="str">
        <x:v>Turing roster</x:v>
      </x:c>
    </x:row>
    <x:row r="98" ht="36" customHeight="1">
      <x:c r="A98" s="29" t="str">
        <x:v>Turing</x:v>
      </x:c>
      <x:c r="B98" s="33" t="str">
        <x:v>James H. Wilkinson</x:v>
      </x:c>
      <x:c r="C98" s="35" t="n">
        <x:v>1970</x:v>
      </x:c>
      <x:c r="D98" s="36" t="str">
        <x:v>1970</x:v>
      </x:c>
      <x:c r="E98" s="36" t="str">
        <x:v>Person</x:v>
      </x:c>
      <x:c r="F98" s="37" t="str">
        <x:v>Borderline</x:v>
      </x:c>
      <x:c r="G98" s="33" t="str">
        <x:v>Strong case for exceptional originality, but I am less certain of equivalence to the user's very high benchmark.</x:v>
      </x:c>
      <x:c r="H98" s="29" t="str">
        <x:v>Turing roster</x:v>
      </x:c>
    </x:row>
    <x:row r="99" ht="36" customHeight="1">
      <x:c r="A99" s="29" t="str">
        <x:v>Turing</x:v>
      </x:c>
      <x:c r="B99" s="33" t="str">
        <x:v>John McCarthy</x:v>
      </x:c>
      <x:c r="C99" s="35" t="n">
        <x:v>1971</x:v>
      </x:c>
      <x:c r="D99" s="36" t="str">
        <x:v>1971</x:v>
      </x:c>
      <x:c r="E99" s="36" t="str">
        <x:v>Person</x:v>
      </x:c>
      <x:c r="F99" s="37" t="str">
        <x:v>Clear</x:v>
      </x:c>
      <x:c r="G99" s="33" t="str">
        <x:v>Lisp and foundational artificial-intelligence concepts.</x:v>
      </x:c>
      <x:c r="H99" s="29" t="str">
        <x:v>Turing roster</x:v>
      </x:c>
    </x:row>
    <x:row r="100" ht="36" customHeight="1">
      <x:c r="A100" s="29" t="str">
        <x:v>Turing</x:v>
      </x:c>
      <x:c r="B100" s="33" t="str">
        <x:v>Edsger W. Dijkstra</x:v>
      </x:c>
      <x:c r="C100" s="35" t="n">
        <x:v>1972</x:v>
      </x:c>
      <x:c r="D100" s="36" t="str">
        <x:v>1972</x:v>
      </x:c>
      <x:c r="E100" s="36" t="str">
        <x:v>Person</x:v>
      </x:c>
      <x:c r="F100" s="37" t="str">
        <x:v>Clear</x:v>
      </x:c>
      <x:c r="G100" s="33" t="str">
        <x:v>Foundational original algorithms and programming principles.</x:v>
      </x:c>
      <x:c r="H100" s="29" t="str">
        <x:v>Turing roster</x:v>
      </x:c>
    </x:row>
    <x:row r="101" ht="36" customHeight="1">
      <x:c r="A101" s="29" t="str">
        <x:v>Turing</x:v>
      </x:c>
      <x:c r="B101" s="33" t="str">
        <x:v>Charles Bachman</x:v>
      </x:c>
      <x:c r="C101" s="35" t="n">
        <x:v>1973</x:v>
      </x:c>
      <x:c r="D101" s="36" t="str">
        <x:v>1973</x:v>
      </x:c>
      <x:c r="E101" s="36" t="str">
        <x:v>Person</x:v>
      </x:c>
      <x:c r="F101" s="37" t="str">
        <x:v>Not established here</x:v>
      </x:c>
      <x:c r="G101" s="33" t="str">
        <x:v>Not included in this affirmative shortlist. This is not a finding of non-genius.</x:v>
      </x:c>
      <x:c r="H101" s="29" t="str">
        <x:v>Turing roster</x:v>
      </x:c>
    </x:row>
    <x:row r="102" ht="36" customHeight="1">
      <x:c r="A102" s="29" t="str">
        <x:v>Turing</x:v>
      </x:c>
      <x:c r="B102" s="33" t="str">
        <x:v>Donald Knuth</x:v>
      </x:c>
      <x:c r="C102" s="35" t="n">
        <x:v>1974</x:v>
      </x:c>
      <x:c r="D102" s="36" t="str">
        <x:v>1974</x:v>
      </x:c>
      <x:c r="E102" s="36" t="str">
        <x:v>Person</x:v>
      </x:c>
      <x:c r="F102" s="37" t="str">
        <x:v>Clear</x:v>
      </x:c>
      <x:c r="G102" s="33" t="str">
        <x:v>Exceptional algorithmic and mathematical originality.</x:v>
      </x:c>
      <x:c r="H102" s="29" t="str">
        <x:v>Turing roster</x:v>
      </x:c>
    </x:row>
    <x:row r="103" ht="36" customHeight="1">
      <x:c r="A103" s="29" t="str">
        <x:v>Turing</x:v>
      </x:c>
      <x:c r="B103" s="33" t="str">
        <x:v>Allen Newell</x:v>
      </x:c>
      <x:c r="C103" s="35" t="n">
        <x:v>1975</x:v>
      </x:c>
      <x:c r="D103" s="36" t="str">
        <x:v>1975</x:v>
      </x:c>
      <x:c r="E103" s="36" t="str">
        <x:v>Person</x:v>
      </x:c>
      <x:c r="F103" s="37" t="str">
        <x:v>Clear</x:v>
      </x:c>
      <x:c r="G103" s="33" t="str">
        <x:v>Foundational artificial intelligence and computational cognition.</x:v>
      </x:c>
      <x:c r="H103" s="29" t="str">
        <x:v>Turing roster</x:v>
      </x:c>
    </x:row>
    <x:row r="104" ht="36" customHeight="1">
      <x:c r="A104" s="29" t="str">
        <x:v>Turing</x:v>
      </x:c>
      <x:c r="B104" s="33" t="str">
        <x:v>Herbert A. Simon</x:v>
      </x:c>
      <x:c r="C104" s="35" t="n">
        <x:v>1975</x:v>
      </x:c>
      <x:c r="D104" s="36" t="str">
        <x:v>1975</x:v>
      </x:c>
      <x:c r="E104" s="36" t="str">
        <x:v>Person</x:v>
      </x:c>
      <x:c r="F104" s="37" t="str">
        <x:v>Clear</x:v>
      </x:c>
      <x:c r="G104" s="33" t="str">
        <x:v>Originality across decision theory, cognitive science and artificial intelligence.</x:v>
      </x:c>
      <x:c r="H104" s="29" t="str">
        <x:v>Turing roster</x:v>
      </x:c>
    </x:row>
    <x:row r="105" ht="36" customHeight="1">
      <x:c r="A105" s="29" t="str">
        <x:v>Turing</x:v>
      </x:c>
      <x:c r="B105" s="33" t="str">
        <x:v>Dana Scott</x:v>
      </x:c>
      <x:c r="C105" s="35" t="n">
        <x:v>1976</x:v>
      </x:c>
      <x:c r="D105" s="36" t="str">
        <x:v>1976</x:v>
      </x:c>
      <x:c r="E105" s="36" t="str">
        <x:v>Person</x:v>
      </x:c>
      <x:c r="F105" s="37" t="str">
        <x:v>Clear</x:v>
      </x:c>
      <x:c r="G105" s="33" t="str">
        <x:v>Foundational mathematical logic and semantics.</x:v>
      </x:c>
      <x:c r="H105" s="29" t="str">
        <x:v>Turing roster</x:v>
      </x:c>
    </x:row>
    <x:row r="106" ht="36" customHeight="1">
      <x:c r="A106" s="29" t="str">
        <x:v>Turing</x:v>
      </x:c>
      <x:c r="B106" s="33" t="str">
        <x:v>Michael O. Rabin</x:v>
      </x:c>
      <x:c r="C106" s="35" t="n">
        <x:v>1976</x:v>
      </x:c>
      <x:c r="D106" s="36" t="str">
        <x:v>1976</x:v>
      </x:c>
      <x:c r="E106" s="36" t="str">
        <x:v>Person</x:v>
      </x:c>
      <x:c r="F106" s="37" t="str">
        <x:v>Clear</x:v>
      </x:c>
      <x:c r="G106" s="33" t="str">
        <x:v>Nondeterminism, randomized computation and foundational logic.</x:v>
      </x:c>
      <x:c r="H106" s="29" t="str">
        <x:v>Turing roster</x:v>
      </x:c>
    </x:row>
    <x:row r="107" ht="36" customHeight="1">
      <x:c r="A107" s="29" t="str">
        <x:v>Turing</x:v>
      </x:c>
      <x:c r="B107" s="33" t="str">
        <x:v>John Backus</x:v>
      </x:c>
      <x:c r="C107" s="35" t="n">
        <x:v>1977</x:v>
      </x:c>
      <x:c r="D107" s="36" t="str">
        <x:v>1977</x:v>
      </x:c>
      <x:c r="E107" s="36" t="str">
        <x:v>Person</x:v>
      </x:c>
      <x:c r="F107" s="37" t="str">
        <x:v>Clear</x:v>
      </x:c>
      <x:c r="G107" s="33" t="str">
        <x:v>Fortran and radical ideas in programming-language design.</x:v>
      </x:c>
      <x:c r="H107" s="29" t="str">
        <x:v>Turing roster</x:v>
      </x:c>
    </x:row>
    <x:row r="108" ht="36" customHeight="1">
      <x:c r="A108" s="29" t="str">
        <x:v>Turing</x:v>
      </x:c>
      <x:c r="B108" s="33" t="str">
        <x:v>Robert W. Floyd</x:v>
      </x:c>
      <x:c r="C108" s="35" t="n">
        <x:v>1978</x:v>
      </x:c>
      <x:c r="D108" s="36" t="str">
        <x:v>1978</x:v>
      </x:c>
      <x:c r="E108" s="36" t="str">
        <x:v>Person</x:v>
      </x:c>
      <x:c r="F108" s="37" t="str">
        <x:v>Clear</x:v>
      </x:c>
      <x:c r="G108" s="33" t="str">
        <x:v>Broad original algorithms, semantics and verification.</x:v>
      </x:c>
      <x:c r="H108" s="29" t="str">
        <x:v>Turing roster</x:v>
      </x:c>
    </x:row>
    <x:row r="109" ht="36" customHeight="1">
      <x:c r="A109" s="29" t="str">
        <x:v>Turing</x:v>
      </x:c>
      <x:c r="B109" s="33" t="str">
        <x:v>Kenneth E. Iverson</x:v>
      </x:c>
      <x:c r="C109" s="35" t="n">
        <x:v>1979</x:v>
      </x:c>
      <x:c r="D109" s="36" t="str">
        <x:v>1979</x:v>
      </x:c>
      <x:c r="E109" s="36" t="str">
        <x:v>Person</x:v>
      </x:c>
      <x:c r="F109" s="37" t="str">
        <x:v>Clear</x:v>
      </x:c>
      <x:c r="G109" s="33" t="str">
        <x:v>A radically original notation and language for array computation.</x:v>
      </x:c>
      <x:c r="H109" s="29" t="str">
        <x:v>Turing roster</x:v>
      </x:c>
    </x:row>
    <x:row r="110" ht="36" customHeight="1">
      <x:c r="A110" s="29" t="str">
        <x:v>Turing</x:v>
      </x:c>
      <x:c r="B110" s="33" t="str">
        <x:v>Tony Hoare</x:v>
      </x:c>
      <x:c r="C110" s="35" t="n">
        <x:v>1980</x:v>
      </x:c>
      <x:c r="D110" s="36" t="str">
        <x:v>1980</x:v>
      </x:c>
      <x:c r="E110" s="36" t="str">
        <x:v>Person</x:v>
      </x:c>
      <x:c r="F110" s="37" t="str">
        <x:v>Clear</x:v>
      </x:c>
      <x:c r="G110" s="33" t="str">
        <x:v>Foundational logic, algorithms and concurrency concepts.</x:v>
      </x:c>
      <x:c r="H110" s="29" t="str">
        <x:v>Turing roster</x:v>
      </x:c>
    </x:row>
    <x:row r="111" ht="36" customHeight="1">
      <x:c r="A111" s="29" t="str">
        <x:v>Turing</x:v>
      </x:c>
      <x:c r="B111" s="33" t="str">
        <x:v>Edgar F. Codd</x:v>
      </x:c>
      <x:c r="C111" s="35" t="n">
        <x:v>1981</x:v>
      </x:c>
      <x:c r="D111" s="36" t="str">
        <x:v>1981</x:v>
      </x:c>
      <x:c r="E111" s="36" t="str">
        <x:v>Person</x:v>
      </x:c>
      <x:c r="F111" s="37" t="str">
        <x:v>Clear</x:v>
      </x:c>
      <x:c r="G111" s="33" t="str">
        <x:v>Created the relational model of data.</x:v>
      </x:c>
      <x:c r="H111" s="29" t="str">
        <x:v>Turing roster</x:v>
      </x:c>
    </x:row>
    <x:row r="112" ht="36" customHeight="1">
      <x:c r="A112" s="29" t="str">
        <x:v>Turing</x:v>
      </x:c>
      <x:c r="B112" s="33" t="str">
        <x:v>Stephen Cook</x:v>
      </x:c>
      <x:c r="C112" s="35" t="n">
        <x:v>1982</x:v>
      </x:c>
      <x:c r="D112" s="36" t="str">
        <x:v>1982</x:v>
      </x:c>
      <x:c r="E112" s="36" t="str">
        <x:v>Person</x:v>
      </x:c>
      <x:c r="F112" s="37" t="str">
        <x:v>Clear</x:v>
      </x:c>
      <x:c r="G112" s="33" t="str">
        <x:v>Created the theory of NP-completeness.</x:v>
      </x:c>
      <x:c r="H112" s="29" t="str">
        <x:v>Turing roster</x:v>
      </x:c>
    </x:row>
    <x:row r="113" ht="36" customHeight="1">
      <x:c r="A113" s="29" t="str">
        <x:v>Turing</x:v>
      </x:c>
      <x:c r="B113" s="33" t="str">
        <x:v>Dennis Ritchie</x:v>
      </x:c>
      <x:c r="C113" s="35" t="n">
        <x:v>1983</x:v>
      </x:c>
      <x:c r="D113" s="36" t="str">
        <x:v>1983</x:v>
      </x:c>
      <x:c r="E113" s="36" t="str">
        <x:v>Person</x:v>
      </x:c>
      <x:c r="F113" s="37" t="str">
        <x:v>Clear</x:v>
      </x:c>
      <x:c r="G113" s="33" t="str">
        <x:v>Original language and operating-system design.</x:v>
      </x:c>
      <x:c r="H113" s="29" t="str">
        <x:v>Turing roster</x:v>
      </x:c>
    </x:row>
    <x:row r="114" ht="36" customHeight="1">
      <x:c r="A114" s="29" t="str">
        <x:v>Turing</x:v>
      </x:c>
      <x:c r="B114" s="33" t="str">
        <x:v>Ken Thompson</x:v>
      </x:c>
      <x:c r="C114" s="35" t="n">
        <x:v>1983</x:v>
      </x:c>
      <x:c r="D114" s="36" t="str">
        <x:v>1983</x:v>
      </x:c>
      <x:c r="E114" s="36" t="str">
        <x:v>Person</x:v>
      </x:c>
      <x:c r="F114" s="37" t="str">
        <x:v>Clear</x:v>
      </x:c>
      <x:c r="G114" s="33" t="str">
        <x:v>Exceptional original operating-system and language design.</x:v>
      </x:c>
      <x:c r="H114" s="29" t="str">
        <x:v>Turing roster</x:v>
      </x:c>
    </x:row>
    <x:row r="115" ht="36" customHeight="1">
      <x:c r="A115" s="29" t="str">
        <x:v>Turing</x:v>
      </x:c>
      <x:c r="B115" s="33" t="str">
        <x:v>Niklaus Wirth</x:v>
      </x:c>
      <x:c r="C115" s="35" t="n">
        <x:v>1984</x:v>
      </x:c>
      <x:c r="D115" s="36" t="str">
        <x:v>1984</x:v>
      </x:c>
      <x:c r="E115" s="36" t="str">
        <x:v>Person</x:v>
      </x:c>
      <x:c r="F115" s="37" t="str">
        <x:v>Borderline</x:v>
      </x:c>
      <x:c r="G115" s="33" t="str">
        <x:v>Strong case for exceptional originality, but I am less certain of equivalence to the user's very high benchmark.</x:v>
      </x:c>
      <x:c r="H115" s="29" t="str">
        <x:v>Turing roster</x:v>
      </x:c>
    </x:row>
    <x:row r="116" ht="36" customHeight="1">
      <x:c r="A116" s="29" t="str">
        <x:v>Turing</x:v>
      </x:c>
      <x:c r="B116" s="33" t="str">
        <x:v>Richard M. Karp</x:v>
      </x:c>
      <x:c r="C116" s="35" t="n">
        <x:v>1985</x:v>
      </x:c>
      <x:c r="D116" s="36" t="str">
        <x:v>1985</x:v>
      </x:c>
      <x:c r="E116" s="36" t="str">
        <x:v>Person</x:v>
      </x:c>
      <x:c r="F116" s="37" t="str">
        <x:v>Clear</x:v>
      </x:c>
      <x:c r="G116" s="33" t="str">
        <x:v>Foundational complexity theory and algorithms.</x:v>
      </x:c>
      <x:c r="H116" s="29" t="str">
        <x:v>Turing roster</x:v>
      </x:c>
    </x:row>
    <x:row r="117" ht="36" customHeight="1">
      <x:c r="A117" s="29" t="str">
        <x:v>Turing</x:v>
      </x:c>
      <x:c r="B117" s="33" t="str">
        <x:v>John Hopcroft</x:v>
      </x:c>
      <x:c r="C117" s="35" t="n">
        <x:v>1986</x:v>
      </x:c>
      <x:c r="D117" s="36" t="str">
        <x:v>1986</x:v>
      </x:c>
      <x:c r="E117" s="36" t="str">
        <x:v>Person</x:v>
      </x:c>
      <x:c r="F117" s="37" t="str">
        <x:v>Borderline</x:v>
      </x:c>
      <x:c r="G117" s="33" t="str">
        <x:v>Strong case for exceptional originality, but I am less certain of equivalence to the user's very high benchmark.</x:v>
      </x:c>
      <x:c r="H117" s="29" t="str">
        <x:v>Turing roster</x:v>
      </x:c>
    </x:row>
    <x:row r="118" ht="36" customHeight="1">
      <x:c r="A118" s="29" t="str">
        <x:v>Turing</x:v>
      </x:c>
      <x:c r="B118" s="33" t="str">
        <x:v>Robert Tarjan</x:v>
      </x:c>
      <x:c r="C118" s="35" t="n">
        <x:v>1986</x:v>
      </x:c>
      <x:c r="D118" s="36" t="str">
        <x:v>1986</x:v>
      </x:c>
      <x:c r="E118" s="36" t="str">
        <x:v>Person</x:v>
      </x:c>
      <x:c r="F118" s="37" t="str">
        <x:v>Clear</x:v>
      </x:c>
      <x:c r="G118" s="33" t="str">
        <x:v>Repeated exceptional algorithmic breakthroughs.</x:v>
      </x:c>
      <x:c r="H118" s="29" t="str">
        <x:v>Turing roster</x:v>
      </x:c>
    </x:row>
    <x:row r="119" ht="36" customHeight="1">
      <x:c r="A119" s="29" t="str">
        <x:v>Turing</x:v>
      </x:c>
      <x:c r="B119" s="33" t="str">
        <x:v>John Cocke</x:v>
      </x:c>
      <x:c r="C119" s="35" t="n">
        <x:v>1987</x:v>
      </x:c>
      <x:c r="D119" s="36" t="str">
        <x:v>1987</x:v>
      </x:c>
      <x:c r="E119" s="36" t="str">
        <x:v>Person</x:v>
      </x:c>
      <x:c r="F119" s="37" t="str">
        <x:v>Not established here</x:v>
      </x:c>
      <x:c r="G119" s="33" t="str">
        <x:v>Not included in this affirmative shortlist. This is not a finding of non-genius.</x:v>
      </x:c>
      <x:c r="H119" s="29" t="str">
        <x:v>Turing roster</x:v>
      </x:c>
    </x:row>
    <x:row r="120" ht="36" customHeight="1">
      <x:c r="A120" s="29" t="str">
        <x:v>Turing</x:v>
      </x:c>
      <x:c r="B120" s="33" t="str">
        <x:v>Ivan Sutherland</x:v>
      </x:c>
      <x:c r="C120" s="35" t="n">
        <x:v>1988</x:v>
      </x:c>
      <x:c r="D120" s="36" t="str">
        <x:v>1988</x:v>
      </x:c>
      <x:c r="E120" s="36" t="str">
        <x:v>Person</x:v>
      </x:c>
      <x:c r="F120" s="37" t="str">
        <x:v>Clear</x:v>
      </x:c>
      <x:c r="G120" s="33" t="str">
        <x:v>Radically original interactive graphics and virtual-reality systems.</x:v>
      </x:c>
      <x:c r="H120" s="29" t="str">
        <x:v>Turing roster</x:v>
      </x:c>
    </x:row>
    <x:row r="121" ht="36" customHeight="1">
      <x:c r="A121" s="29" t="str">
        <x:v>Turing</x:v>
      </x:c>
      <x:c r="B121" s="33" t="str">
        <x:v>William Kahan</x:v>
      </x:c>
      <x:c r="C121" s="35" t="n">
        <x:v>1989</x:v>
      </x:c>
      <x:c r="D121" s="36" t="str">
        <x:v>1989</x:v>
      </x:c>
      <x:c r="E121" s="36" t="str">
        <x:v>Person</x:v>
      </x:c>
      <x:c r="F121" s="37" t="str">
        <x:v>Clear</x:v>
      </x:c>
      <x:c r="G121" s="33" t="str">
        <x:v>Exceptional ingenuity in numerical analysis and floating-point computation.</x:v>
      </x:c>
      <x:c r="H121" s="29" t="str">
        <x:v>Turing roster</x:v>
      </x:c>
    </x:row>
    <x:row r="122" ht="36" customHeight="1">
      <x:c r="A122" s="29" t="str">
        <x:v>Turing</x:v>
      </x:c>
      <x:c r="B122" s="33" t="str">
        <x:v>Fernando J. Corbató</x:v>
      </x:c>
      <x:c r="C122" s="35" t="n">
        <x:v>1990</x:v>
      </x:c>
      <x:c r="D122" s="36" t="str">
        <x:v>1990</x:v>
      </x:c>
      <x:c r="E122" s="36" t="str">
        <x:v>Person</x:v>
      </x:c>
      <x:c r="F122" s="37" t="str">
        <x:v>Not established here</x:v>
      </x:c>
      <x:c r="G122" s="33" t="str">
        <x:v>Not included in this affirmative shortlist. This is not a finding of non-genius.</x:v>
      </x:c>
      <x:c r="H122" s="29" t="str">
        <x:v>Turing roster</x:v>
      </x:c>
    </x:row>
    <x:row r="123" ht="36" customHeight="1">
      <x:c r="A123" s="29" t="str">
        <x:v>Turing</x:v>
      </x:c>
      <x:c r="B123" s="33" t="str">
        <x:v>Robin Milner</x:v>
      </x:c>
      <x:c r="C123" s="35" t="n">
        <x:v>1991</x:v>
      </x:c>
      <x:c r="D123" s="36" t="str">
        <x:v>1991</x:v>
      </x:c>
      <x:c r="E123" s="36" t="str">
        <x:v>Person</x:v>
      </x:c>
      <x:c r="F123" s="37" t="str">
        <x:v>Clear</x:v>
      </x:c>
      <x:c r="G123" s="33" t="str">
        <x:v>Foundational type theory, languages and concurrency semantics.</x:v>
      </x:c>
      <x:c r="H123" s="29" t="str">
        <x:v>Turing roster</x:v>
      </x:c>
    </x:row>
    <x:row r="124" ht="36" customHeight="1">
      <x:c r="A124" s="29" t="str">
        <x:v>Turing</x:v>
      </x:c>
      <x:c r="B124" s="33" t="str">
        <x:v>Butler Lampson</x:v>
      </x:c>
      <x:c r="C124" s="35" t="n">
        <x:v>1992</x:v>
      </x:c>
      <x:c r="D124" s="36" t="str">
        <x:v>1992</x:v>
      </x:c>
      <x:c r="E124" s="36" t="str">
        <x:v>Person</x:v>
      </x:c>
      <x:c r="F124" s="37" t="str">
        <x:v>Borderline</x:v>
      </x:c>
      <x:c r="G124" s="33" t="str">
        <x:v>Strong case for exceptional originality, but I am less certain of equivalence to the user's very high benchmark.</x:v>
      </x:c>
      <x:c r="H124" s="29" t="str">
        <x:v>Turing roster</x:v>
      </x:c>
    </x:row>
    <x:row r="125" ht="36" customHeight="1">
      <x:c r="A125" s="29" t="str">
        <x:v>Turing</x:v>
      </x:c>
      <x:c r="B125" s="33" t="str">
        <x:v>Juris Hartmanis</x:v>
      </x:c>
      <x:c r="C125" s="35" t="n">
        <x:v>1993</x:v>
      </x:c>
      <x:c r="D125" s="36" t="str">
        <x:v>1993</x:v>
      </x:c>
      <x:c r="E125" s="36" t="str">
        <x:v>Person</x:v>
      </x:c>
      <x:c r="F125" s="37" t="str">
        <x:v>Borderline</x:v>
      </x:c>
      <x:c r="G125" s="33" t="str">
        <x:v>Strong case for exceptional originality, but I am less certain of equivalence to the user's very high benchmark.</x:v>
      </x:c>
      <x:c r="H125" s="29" t="str">
        <x:v>Turing roster</x:v>
      </x:c>
    </x:row>
    <x:row r="126" ht="36" customHeight="1">
      <x:c r="A126" s="29" t="str">
        <x:v>Turing</x:v>
      </x:c>
      <x:c r="B126" s="33" t="str">
        <x:v>Richard E. Stearns</x:v>
      </x:c>
      <x:c r="C126" s="35" t="n">
        <x:v>1993</x:v>
      </x:c>
      <x:c r="D126" s="36" t="str">
        <x:v>1993</x:v>
      </x:c>
      <x:c r="E126" s="36" t="str">
        <x:v>Person</x:v>
      </x:c>
      <x:c r="F126" s="37" t="str">
        <x:v>Borderline</x:v>
      </x:c>
      <x:c r="G126" s="33" t="str">
        <x:v>Strong case for exceptional originality, but I am less certain of equivalence to the user's very high benchmark.</x:v>
      </x:c>
      <x:c r="H126" s="29" t="str">
        <x:v>Turing roster</x:v>
      </x:c>
    </x:row>
    <x:row r="127" ht="36" customHeight="1">
      <x:c r="A127" s="29" t="str">
        <x:v>Turing</x:v>
      </x:c>
      <x:c r="B127" s="33" t="str">
        <x:v>Edward Feigenbaum</x:v>
      </x:c>
      <x:c r="C127" s="35" t="n">
        <x:v>1994</x:v>
      </x:c>
      <x:c r="D127" s="36" t="str">
        <x:v>1994</x:v>
      </x:c>
      <x:c r="E127" s="36" t="str">
        <x:v>Person</x:v>
      </x:c>
      <x:c r="F127" s="37" t="str">
        <x:v>Not established here</x:v>
      </x:c>
      <x:c r="G127" s="33" t="str">
        <x:v>Not included in this affirmative shortlist. This is not a finding of non-genius.</x:v>
      </x:c>
      <x:c r="H127" s="29" t="str">
        <x:v>Turing roster</x:v>
      </x:c>
    </x:row>
    <x:row r="128" ht="36" customHeight="1">
      <x:c r="A128" s="29" t="str">
        <x:v>Turing</x:v>
      </x:c>
      <x:c r="B128" s="33" t="str">
        <x:v>Raj Reddy</x:v>
      </x:c>
      <x:c r="C128" s="35" t="n">
        <x:v>1994</x:v>
      </x:c>
      <x:c r="D128" s="36" t="str">
        <x:v>1994</x:v>
      </x:c>
      <x:c r="E128" s="36" t="str">
        <x:v>Person</x:v>
      </x:c>
      <x:c r="F128" s="37" t="str">
        <x:v>Not established here</x:v>
      </x:c>
      <x:c r="G128" s="33" t="str">
        <x:v>Not included in this affirmative shortlist. This is not a finding of non-genius.</x:v>
      </x:c>
      <x:c r="H128" s="29" t="str">
        <x:v>Turing roster</x:v>
      </x:c>
    </x:row>
    <x:row r="129" ht="36" customHeight="1">
      <x:c r="A129" s="29" t="str">
        <x:v>Turing</x:v>
      </x:c>
      <x:c r="B129" s="33" t="str">
        <x:v>Manuel Blum</x:v>
      </x:c>
      <x:c r="C129" s="35" t="n">
        <x:v>1995</x:v>
      </x:c>
      <x:c r="D129" s="36" t="str">
        <x:v>1995</x:v>
      </x:c>
      <x:c r="E129" s="36" t="str">
        <x:v>Person</x:v>
      </x:c>
      <x:c r="F129" s="37" t="str">
        <x:v>Clear</x:v>
      </x:c>
      <x:c r="G129" s="33" t="str">
        <x:v>Foundational complexity theory and original cryptographic reasoning.</x:v>
      </x:c>
      <x:c r="H129" s="29" t="str">
        <x:v>Turing roster</x:v>
      </x:c>
    </x:row>
    <x:row r="130" ht="36" customHeight="1">
      <x:c r="A130" s="29" t="str">
        <x:v>Turing</x:v>
      </x:c>
      <x:c r="B130" s="33" t="str">
        <x:v>Amir Pnueli</x:v>
      </x:c>
      <x:c r="C130" s="35" t="n">
        <x:v>1996</x:v>
      </x:c>
      <x:c r="D130" s="36" t="str">
        <x:v>1996</x:v>
      </x:c>
      <x:c r="E130" s="36" t="str">
        <x:v>Person</x:v>
      </x:c>
      <x:c r="F130" s="37" t="str">
        <x:v>Borderline</x:v>
      </x:c>
      <x:c r="G130" s="33" t="str">
        <x:v>Strong case for exceptional originality, but I am less certain of equivalence to the user's very high benchmark.</x:v>
      </x:c>
      <x:c r="H130" s="29" t="str">
        <x:v>Turing roster</x:v>
      </x:c>
    </x:row>
    <x:row r="131" ht="36" customHeight="1">
      <x:c r="A131" s="29" t="str">
        <x:v>Turing</x:v>
      </x:c>
      <x:c r="B131" s="33" t="str">
        <x:v>Douglas Engelbart</x:v>
      </x:c>
      <x:c r="C131" s="35" t="n">
        <x:v>1997</x:v>
      </x:c>
      <x:c r="D131" s="36" t="str">
        <x:v>1997</x:v>
      </x:c>
      <x:c r="E131" s="36" t="str">
        <x:v>Person</x:v>
      </x:c>
      <x:c r="F131" s="37" t="str">
        <x:v>Clear</x:v>
      </x:c>
      <x:c r="G131" s="33" t="str">
        <x:v>Radically original framework for interactive human-computer work.</x:v>
      </x:c>
      <x:c r="H131" s="29" t="str">
        <x:v>Turing roster</x:v>
      </x:c>
    </x:row>
    <x:row r="132" ht="36" customHeight="1">
      <x:c r="A132" s="29" t="str">
        <x:v>Turing</x:v>
      </x:c>
      <x:c r="B132" s="33" t="str">
        <x:v>Jim Gray</x:v>
      </x:c>
      <x:c r="C132" s="35" t="n">
        <x:v>1998</x:v>
      </x:c>
      <x:c r="D132" s="36" t="str">
        <x:v>1998</x:v>
      </x:c>
      <x:c r="E132" s="36" t="str">
        <x:v>Person</x:v>
      </x:c>
      <x:c r="F132" s="37" t="str">
        <x:v>Borderline</x:v>
      </x:c>
      <x:c r="G132" s="33" t="str">
        <x:v>Strong case for exceptional originality, but I am less certain of equivalence to the user's very high benchmark.</x:v>
      </x:c>
      <x:c r="H132" s="29" t="str">
        <x:v>Turing roster</x:v>
      </x:c>
    </x:row>
    <x:row r="133" ht="36" customHeight="1">
      <x:c r="A133" s="29" t="str">
        <x:v>Turing</x:v>
      </x:c>
      <x:c r="B133" s="33" t="str">
        <x:v>Fred Brooks</x:v>
      </x:c>
      <x:c r="C133" s="35" t="n">
        <x:v>1999</x:v>
      </x:c>
      <x:c r="D133" s="36" t="str">
        <x:v>1999</x:v>
      </x:c>
      <x:c r="E133" s="36" t="str">
        <x:v>Person</x:v>
      </x:c>
      <x:c r="F133" s="37" t="str">
        <x:v>Not established here</x:v>
      </x:c>
      <x:c r="G133" s="33" t="str">
        <x:v>Not included in this affirmative shortlist. This is not a finding of non-genius.</x:v>
      </x:c>
      <x:c r="H133" s="29" t="str">
        <x:v>Turing roster</x:v>
      </x:c>
    </x:row>
    <x:row r="134" ht="36" customHeight="1">
      <x:c r="A134" s="29" t="str">
        <x:v>Turing</x:v>
      </x:c>
      <x:c r="B134" s="33" t="str">
        <x:v>Andrew Yao</x:v>
      </x:c>
      <x:c r="C134" s="35" t="n">
        <x:v>2000</x:v>
      </x:c>
      <x:c r="D134" s="36" t="str">
        <x:v>2000</x:v>
      </x:c>
      <x:c r="E134" s="36" t="str">
        <x:v>Person</x:v>
      </x:c>
      <x:c r="F134" s="37" t="str">
        <x:v>Clear</x:v>
      </x:c>
      <x:c r="G134" s="33" t="str">
        <x:v>Foundational complexity, communication and cryptographic theory.</x:v>
      </x:c>
      <x:c r="H134" s="29" t="str">
        <x:v>Turing roster</x:v>
      </x:c>
    </x:row>
    <x:row r="135" ht="36" customHeight="1">
      <x:c r="A135" s="29" t="str">
        <x:v>Turing</x:v>
      </x:c>
      <x:c r="B135" s="33" t="str">
        <x:v>Kristen Nygaard</x:v>
      </x:c>
      <x:c r="C135" s="35" t="n">
        <x:v>2001</x:v>
      </x:c>
      <x:c r="D135" s="36" t="str">
        <x:v>2001</x:v>
      </x:c>
      <x:c r="E135" s="36" t="str">
        <x:v>Person</x:v>
      </x:c>
      <x:c r="F135" s="37" t="str">
        <x:v>Borderline</x:v>
      </x:c>
      <x:c r="G135" s="33" t="str">
        <x:v>Strong case for exceptional originality, but I am less certain of equivalence to the user's very high benchmark.</x:v>
      </x:c>
      <x:c r="H135" s="29" t="str">
        <x:v>Turing roster</x:v>
      </x:c>
    </x:row>
    <x:row r="136" ht="36" customHeight="1">
      <x:c r="A136" s="29" t="str">
        <x:v>Turing</x:v>
      </x:c>
      <x:c r="B136" s="33" t="str">
        <x:v>Ole-Johan Dahl</x:v>
      </x:c>
      <x:c r="C136" s="35" t="n">
        <x:v>2001</x:v>
      </x:c>
      <x:c r="D136" s="36" t="str">
        <x:v>2001</x:v>
      </x:c>
      <x:c r="E136" s="36" t="str">
        <x:v>Person</x:v>
      </x:c>
      <x:c r="F136" s="37" t="str">
        <x:v>Borderline</x:v>
      </x:c>
      <x:c r="G136" s="33" t="str">
        <x:v>Strong case for exceptional originality, but I am less certain of equivalence to the user's very high benchmark.</x:v>
      </x:c>
      <x:c r="H136" s="29" t="str">
        <x:v>Turing roster</x:v>
      </x:c>
    </x:row>
    <x:row r="137" ht="36" customHeight="1">
      <x:c r="A137" s="29" t="str">
        <x:v>Turing</x:v>
      </x:c>
      <x:c r="B137" s="33" t="str">
        <x:v>Adi Shamir</x:v>
      </x:c>
      <x:c r="C137" s="35" t="n">
        <x:v>2002</x:v>
      </x:c>
      <x:c r="D137" s="36" t="str">
        <x:v>2002</x:v>
      </x:c>
      <x:c r="E137" s="36" t="str">
        <x:v>Person</x:v>
      </x:c>
      <x:c r="F137" s="37" t="str">
        <x:v>Clear</x:v>
      </x:c>
      <x:c r="G137" s="33" t="str">
        <x:v>Repeated exceptional cryptographic insights and constructions.</x:v>
      </x:c>
      <x:c r="H137" s="29" t="str">
        <x:v>Turing roster</x:v>
      </x:c>
    </x:row>
    <x:row r="138" ht="36" customHeight="1">
      <x:c r="A138" s="29" t="str">
        <x:v>Turing</x:v>
      </x:c>
      <x:c r="B138" s="33" t="str">
        <x:v>Leonard Adleman</x:v>
      </x:c>
      <x:c r="C138" s="35" t="n">
        <x:v>2002</x:v>
      </x:c>
      <x:c r="D138" s="36" t="str">
        <x:v>2002</x:v>
      </x:c>
      <x:c r="E138" s="36" t="str">
        <x:v>Person</x:v>
      </x:c>
      <x:c r="F138" s="37" t="str">
        <x:v>Clear</x:v>
      </x:c>
      <x:c r="G138" s="33" t="str">
        <x:v>Public-key cryptography and DNA computation.</x:v>
      </x:c>
      <x:c r="H138" s="29" t="str">
        <x:v>Turing roster</x:v>
      </x:c>
    </x:row>
    <x:row r="139" ht="36" customHeight="1">
      <x:c r="A139" s="29" t="str">
        <x:v>Turing</x:v>
      </x:c>
      <x:c r="B139" s="33" t="str">
        <x:v>Ron Rivest</x:v>
      </x:c>
      <x:c r="C139" s="35" t="n">
        <x:v>2002</x:v>
      </x:c>
      <x:c r="D139" s="36" t="str">
        <x:v>2002</x:v>
      </x:c>
      <x:c r="E139" s="36" t="str">
        <x:v>Person</x:v>
      </x:c>
      <x:c r="F139" s="37" t="str">
        <x:v>Clear</x:v>
      </x:c>
      <x:c r="G139" s="33" t="str">
        <x:v>Repeated original cryptographic constructions.</x:v>
      </x:c>
      <x:c r="H139" s="29" t="str">
        <x:v>Turing roster</x:v>
      </x:c>
    </x:row>
    <x:row r="140" ht="36" customHeight="1">
      <x:c r="A140" s="29" t="str">
        <x:v>Turing</x:v>
      </x:c>
      <x:c r="B140" s="33" t="str">
        <x:v>Alan Kay</x:v>
      </x:c>
      <x:c r="C140" s="35" t="n">
        <x:v>2003</x:v>
      </x:c>
      <x:c r="D140" s="36" t="str">
        <x:v>2003</x:v>
      </x:c>
      <x:c r="E140" s="36" t="str">
        <x:v>Person</x:v>
      </x:c>
      <x:c r="F140" s="37" t="str">
        <x:v>Clear</x:v>
      </x:c>
      <x:c r="G140" s="33" t="str">
        <x:v>Radically original object-oriented and personal-computing concepts.</x:v>
      </x:c>
      <x:c r="H140" s="29" t="str">
        <x:v>Turing roster</x:v>
      </x:c>
    </x:row>
    <x:row r="141" ht="36" customHeight="1">
      <x:c r="A141" s="29" t="str">
        <x:v>Turing</x:v>
      </x:c>
      <x:c r="B141" s="33" t="str">
        <x:v>Robert Kahn</x:v>
      </x:c>
      <x:c r="C141" s="35" t="n">
        <x:v>2004</x:v>
      </x:c>
      <x:c r="D141" s="36" t="str">
        <x:v>2004</x:v>
      </x:c>
      <x:c r="E141" s="36" t="str">
        <x:v>Person</x:v>
      </x:c>
      <x:c r="F141" s="37" t="str">
        <x:v>Not established here</x:v>
      </x:c>
      <x:c r="G141" s="33" t="str">
        <x:v>Not included in this affirmative shortlist. This is not a finding of non-genius.</x:v>
      </x:c>
      <x:c r="H141" s="29" t="str">
        <x:v>Turing roster</x:v>
      </x:c>
    </x:row>
    <x:row r="142" ht="36" customHeight="1">
      <x:c r="A142" s="29" t="str">
        <x:v>Turing</x:v>
      </x:c>
      <x:c r="B142" s="33" t="str">
        <x:v>Vint Cerf</x:v>
      </x:c>
      <x:c r="C142" s="35" t="n">
        <x:v>2004</x:v>
      </x:c>
      <x:c r="D142" s="36" t="str">
        <x:v>2004</x:v>
      </x:c>
      <x:c r="E142" s="36" t="str">
        <x:v>Person</x:v>
      </x:c>
      <x:c r="F142" s="37" t="str">
        <x:v>Not established here</x:v>
      </x:c>
      <x:c r="G142" s="33" t="str">
        <x:v>Not included in this affirmative shortlist. This is not a finding of non-genius.</x:v>
      </x:c>
      <x:c r="H142" s="29" t="str">
        <x:v>Turing roster</x:v>
      </x:c>
    </x:row>
    <x:row r="143" ht="36" customHeight="1">
      <x:c r="A143" s="29" t="str">
        <x:v>Turing</x:v>
      </x:c>
      <x:c r="B143" s="33" t="str">
        <x:v>Peter Naur</x:v>
      </x:c>
      <x:c r="C143" s="35" t="n">
        <x:v>2005</x:v>
      </x:c>
      <x:c r="D143" s="36" t="str">
        <x:v>2005</x:v>
      </x:c>
      <x:c r="E143" s="36" t="str">
        <x:v>Person</x:v>
      </x:c>
      <x:c r="F143" s="37" t="str">
        <x:v>Borderline</x:v>
      </x:c>
      <x:c r="G143" s="33" t="str">
        <x:v>Strong case for exceptional originality, but I am less certain of equivalence to the user's very high benchmark.</x:v>
      </x:c>
      <x:c r="H143" s="29" t="str">
        <x:v>Turing roster</x:v>
      </x:c>
    </x:row>
    <x:row r="144" ht="36" customHeight="1">
      <x:c r="A144" s="29" t="str">
        <x:v>Turing</x:v>
      </x:c>
      <x:c r="B144" s="33" t="str">
        <x:v>Frances Allen</x:v>
      </x:c>
      <x:c r="C144" s="35" t="n">
        <x:v>2006</x:v>
      </x:c>
      <x:c r="D144" s="36" t="str">
        <x:v>2006</x:v>
      </x:c>
      <x:c r="E144" s="36" t="str">
        <x:v>Person</x:v>
      </x:c>
      <x:c r="F144" s="37" t="str">
        <x:v>Borderline</x:v>
      </x:c>
      <x:c r="G144" s="33" t="str">
        <x:v>Strong case for exceptional originality, but I am less certain of equivalence to the user's very high benchmark.</x:v>
      </x:c>
      <x:c r="H144" s="29" t="str">
        <x:v>Turing roster</x:v>
      </x:c>
    </x:row>
    <x:row r="145" ht="36" customHeight="1">
      <x:c r="A145" s="29" t="str">
        <x:v>Turing</x:v>
      </x:c>
      <x:c r="B145" s="33" t="str">
        <x:v>E. Allen Emerson</x:v>
      </x:c>
      <x:c r="C145" s="35" t="n">
        <x:v>2007</x:v>
      </x:c>
      <x:c r="D145" s="36" t="str">
        <x:v>2007</x:v>
      </x:c>
      <x:c r="E145" s="36" t="str">
        <x:v>Person</x:v>
      </x:c>
      <x:c r="F145" s="37" t="str">
        <x:v>Not established here</x:v>
      </x:c>
      <x:c r="G145" s="33" t="str">
        <x:v>Not included in this affirmative shortlist. This is not a finding of non-genius.</x:v>
      </x:c>
      <x:c r="H145" s="29" t="str">
        <x:v>Turing roster</x:v>
      </x:c>
    </x:row>
    <x:row r="146" ht="36" customHeight="1">
      <x:c r="A146" s="29" t="str">
        <x:v>Turing</x:v>
      </x:c>
      <x:c r="B146" s="33" t="str">
        <x:v>Edmund M. Clarke</x:v>
      </x:c>
      <x:c r="C146" s="35" t="n">
        <x:v>2007</x:v>
      </x:c>
      <x:c r="D146" s="36" t="str">
        <x:v>2007</x:v>
      </x:c>
      <x:c r="E146" s="36" t="str">
        <x:v>Person</x:v>
      </x:c>
      <x:c r="F146" s="37" t="str">
        <x:v>Not established here</x:v>
      </x:c>
      <x:c r="G146" s="33" t="str">
        <x:v>Not included in this affirmative shortlist. This is not a finding of non-genius.</x:v>
      </x:c>
      <x:c r="H146" s="29" t="str">
        <x:v>Turing roster</x:v>
      </x:c>
    </x:row>
    <x:row r="147" ht="36" customHeight="1">
      <x:c r="A147" s="29" t="str">
        <x:v>Turing</x:v>
      </x:c>
      <x:c r="B147" s="33" t="str">
        <x:v>Joseph Sifakis</x:v>
      </x:c>
      <x:c r="C147" s="35" t="n">
        <x:v>2007</x:v>
      </x:c>
      <x:c r="D147" s="36" t="str">
        <x:v>2007</x:v>
      </x:c>
      <x:c r="E147" s="36" t="str">
        <x:v>Person</x:v>
      </x:c>
      <x:c r="F147" s="37" t="str">
        <x:v>Not established here</x:v>
      </x:c>
      <x:c r="G147" s="33" t="str">
        <x:v>Not included in this affirmative shortlist. This is not a finding of non-genius.</x:v>
      </x:c>
      <x:c r="H147" s="29" t="str">
        <x:v>Turing roster</x:v>
      </x:c>
    </x:row>
    <x:row r="148" ht="36" customHeight="1">
      <x:c r="A148" s="29" t="str">
        <x:v>Turing</x:v>
      </x:c>
      <x:c r="B148" s="33" t="str">
        <x:v>Barbara Liskov</x:v>
      </x:c>
      <x:c r="C148" s="35" t="n">
        <x:v>2008</x:v>
      </x:c>
      <x:c r="D148" s="36" t="str">
        <x:v>2008</x:v>
      </x:c>
      <x:c r="E148" s="36" t="str">
        <x:v>Person</x:v>
      </x:c>
      <x:c r="F148" s="37" t="str">
        <x:v>Borderline</x:v>
      </x:c>
      <x:c r="G148" s="33" t="str">
        <x:v>Strong case for exceptional originality, but I am less certain of equivalence to the user's very high benchmark.</x:v>
      </x:c>
      <x:c r="H148" s="29" t="str">
        <x:v>Turing roster</x:v>
      </x:c>
    </x:row>
    <x:row r="149" ht="36" customHeight="1">
      <x:c r="A149" s="29" t="str">
        <x:v>Turing</x:v>
      </x:c>
      <x:c r="B149" s="33" t="str">
        <x:v>Charles P. Thacker</x:v>
      </x:c>
      <x:c r="C149" s="35" t="n">
        <x:v>2009</x:v>
      </x:c>
      <x:c r="D149" s="36" t="str">
        <x:v>2009</x:v>
      </x:c>
      <x:c r="E149" s="36" t="str">
        <x:v>Person</x:v>
      </x:c>
      <x:c r="F149" s="37" t="str">
        <x:v>Not established here</x:v>
      </x:c>
      <x:c r="G149" s="33" t="str">
        <x:v>Not included in this affirmative shortlist. This is not a finding of non-genius.</x:v>
      </x:c>
      <x:c r="H149" s="29" t="str">
        <x:v>Turing roster</x:v>
      </x:c>
    </x:row>
    <x:row r="150" ht="36" customHeight="1">
      <x:c r="A150" s="29" t="str">
        <x:v>Turing</x:v>
      </x:c>
      <x:c r="B150" s="33" t="str">
        <x:v>Leslie Valiant</x:v>
      </x:c>
      <x:c r="C150" s="35" t="n">
        <x:v>2010</x:v>
      </x:c>
      <x:c r="D150" s="36" t="str">
        <x:v>2010</x:v>
      </x:c>
      <x:c r="E150" s="36" t="str">
        <x:v>Person</x:v>
      </x:c>
      <x:c r="F150" s="37" t="str">
        <x:v>Clear</x:v>
      </x:c>
      <x:c r="G150" s="33" t="str">
        <x:v>Created major frameworks in learning and computational complexity.</x:v>
      </x:c>
      <x:c r="H150" s="29" t="str">
        <x:v>Turing roster</x:v>
      </x:c>
    </x:row>
    <x:row r="151" ht="36" customHeight="1">
      <x:c r="A151" s="29" t="str">
        <x:v>Turing</x:v>
      </x:c>
      <x:c r="B151" s="33" t="str">
        <x:v>Judea Pearl</x:v>
      </x:c>
      <x:c r="C151" s="35" t="n">
        <x:v>2011</x:v>
      </x:c>
      <x:c r="D151" s="36" t="str">
        <x:v>2011</x:v>
      </x:c>
      <x:c r="E151" s="36" t="str">
        <x:v>Person</x:v>
      </x:c>
      <x:c r="F151" s="37" t="str">
        <x:v>Clear</x:v>
      </x:c>
      <x:c r="G151" s="33" t="str">
        <x:v>Created major conceptual frameworks for probabilistic and causal reasoning.</x:v>
      </x:c>
      <x:c r="H151" s="29" t="str">
        <x:v>Turing roster</x:v>
      </x:c>
    </x:row>
    <x:row r="152" ht="36" customHeight="1">
      <x:c r="A152" s="29" t="str">
        <x:v>Turing</x:v>
      </x:c>
      <x:c r="B152" s="33" t="str">
        <x:v>Shafi Goldwasser</x:v>
      </x:c>
      <x:c r="C152" s="35" t="n">
        <x:v>2012</x:v>
      </x:c>
      <x:c r="D152" s="36" t="str">
        <x:v>2012</x:v>
      </x:c>
      <x:c r="E152" s="36" t="str">
        <x:v>Person</x:v>
      </x:c>
      <x:c r="F152" s="37" t="str">
        <x:v>Clear</x:v>
      </x:c>
      <x:c r="G152" s="33" t="str">
        <x:v>Foundational cryptographic theory and zero-knowledge ideas.</x:v>
      </x:c>
      <x:c r="H152" s="29" t="str">
        <x:v>Turing roster</x:v>
      </x:c>
    </x:row>
    <x:row r="153" ht="36" customHeight="1">
      <x:c r="A153" s="29" t="str">
        <x:v>Turing</x:v>
      </x:c>
      <x:c r="B153" s="33" t="str">
        <x:v>Silvio Micali</x:v>
      </x:c>
      <x:c r="C153" s="35" t="n">
        <x:v>2012</x:v>
      </x:c>
      <x:c r="D153" s="36" t="str">
        <x:v>2012</x:v>
      </x:c>
      <x:c r="E153" s="36" t="str">
        <x:v>Person</x:v>
      </x:c>
      <x:c r="F153" s="37" t="str">
        <x:v>Clear</x:v>
      </x:c>
      <x:c r="G153" s="33" t="str">
        <x:v>Foundational cryptographic theory and zero-knowledge ideas.</x:v>
      </x:c>
      <x:c r="H153" s="29" t="str">
        <x:v>Turing roster</x:v>
      </x:c>
    </x:row>
    <x:row r="154" ht="36" customHeight="1">
      <x:c r="A154" s="29" t="str">
        <x:v>Turing</x:v>
      </x:c>
      <x:c r="B154" s="33" t="str">
        <x:v>Leslie Lamport</x:v>
      </x:c>
      <x:c r="C154" s="35" t="n">
        <x:v>2013</x:v>
      </x:c>
      <x:c r="D154" s="36" t="str">
        <x:v>2013</x:v>
      </x:c>
      <x:c r="E154" s="36" t="str">
        <x:v>Person</x:v>
      </x:c>
      <x:c r="F154" s="37" t="str">
        <x:v>Clear</x:v>
      </x:c>
      <x:c r="G154" s="33" t="str">
        <x:v>Repeated foundational insights in distributed computation.</x:v>
      </x:c>
      <x:c r="H154" s="29" t="str">
        <x:v>Turing roster</x:v>
      </x:c>
    </x:row>
    <x:row r="155" ht="36" customHeight="1">
      <x:c r="A155" s="29" t="str">
        <x:v>Turing</x:v>
      </x:c>
      <x:c r="B155" s="33" t="str">
        <x:v>Michael Stonebraker</x:v>
      </x:c>
      <x:c r="C155" s="35" t="n">
        <x:v>2014</x:v>
      </x:c>
      <x:c r="D155" s="36" t="str">
        <x:v>2014</x:v>
      </x:c>
      <x:c r="E155" s="36" t="str">
        <x:v>Person</x:v>
      </x:c>
      <x:c r="F155" s="37" t="str">
        <x:v>Not established here</x:v>
      </x:c>
      <x:c r="G155" s="33" t="str">
        <x:v>Not included in this affirmative shortlist. This is not a finding of non-genius.</x:v>
      </x:c>
      <x:c r="H155" s="29" t="str">
        <x:v>Turing roster</x:v>
      </x:c>
    </x:row>
    <x:row r="156" ht="36" customHeight="1">
      <x:c r="A156" s="29" t="str">
        <x:v>Turing</x:v>
      </x:c>
      <x:c r="B156" s="33" t="str">
        <x:v>Martin Hellman</x:v>
      </x:c>
      <x:c r="C156" s="35" t="n">
        <x:v>2015</x:v>
      </x:c>
      <x:c r="D156" s="36" t="str">
        <x:v>2015</x:v>
      </x:c>
      <x:c r="E156" s="36" t="str">
        <x:v>Person</x:v>
      </x:c>
      <x:c r="F156" s="37" t="str">
        <x:v>Borderline</x:v>
      </x:c>
      <x:c r="G156" s="33" t="str">
        <x:v>Strong case for exceptional originality, but I am less certain of equivalence to the user's very high benchmark.</x:v>
      </x:c>
      <x:c r="H156" s="29" t="str">
        <x:v>Turing roster</x:v>
      </x:c>
    </x:row>
    <x:row r="157" ht="36" customHeight="1">
      <x:c r="A157" s="29" t="str">
        <x:v>Turing</x:v>
      </x:c>
      <x:c r="B157" s="33" t="str">
        <x:v>Whitfield Diffie</x:v>
      </x:c>
      <x:c r="C157" s="35" t="n">
        <x:v>2015</x:v>
      </x:c>
      <x:c r="D157" s="36" t="str">
        <x:v>2015</x:v>
      </x:c>
      <x:c r="E157" s="36" t="str">
        <x:v>Person</x:v>
      </x:c>
      <x:c r="F157" s="37" t="str">
        <x:v>Borderline</x:v>
      </x:c>
      <x:c r="G157" s="33" t="str">
        <x:v>Strong case for exceptional originality, but I am less certain of equivalence to the user's very high benchmark.</x:v>
      </x:c>
      <x:c r="H157" s="29" t="str">
        <x:v>Turing roster</x:v>
      </x:c>
    </x:row>
    <x:row r="158" ht="36" customHeight="1">
      <x:c r="A158" s="29" t="str">
        <x:v>Turing</x:v>
      </x:c>
      <x:c r="B158" s="33" t="str">
        <x:v>Tim Berners-Lee</x:v>
      </x:c>
      <x:c r="C158" s="35" t="n">
        <x:v>2016</x:v>
      </x:c>
      <x:c r="D158" s="36" t="str">
        <x:v>2016</x:v>
      </x:c>
      <x:c r="E158" s="36" t="str">
        <x:v>Person</x:v>
      </x:c>
      <x:c r="F158" s="37" t="str">
        <x:v>Borderline</x:v>
      </x:c>
      <x:c r="G158" s="33" t="str">
        <x:v>Strong case for exceptional originality, but I am less certain of equivalence to the user's very high benchmark.</x:v>
      </x:c>
      <x:c r="H158" s="29" t="str">
        <x:v>Turing roster</x:v>
      </x:c>
    </x:row>
    <x:row r="159" ht="36" customHeight="1">
      <x:c r="A159" s="29" t="str">
        <x:v>Turing</x:v>
      </x:c>
      <x:c r="B159" s="33" t="str">
        <x:v>David Patterson</x:v>
      </x:c>
      <x:c r="C159" s="35" t="n">
        <x:v>2017</x:v>
      </x:c>
      <x:c r="D159" s="36" t="str">
        <x:v>2017</x:v>
      </x:c>
      <x:c r="E159" s="36" t="str">
        <x:v>Person</x:v>
      </x:c>
      <x:c r="F159" s="37" t="str">
        <x:v>Not established here</x:v>
      </x:c>
      <x:c r="G159" s="33" t="str">
        <x:v>Not included in this affirmative shortlist. This is not a finding of non-genius.</x:v>
      </x:c>
      <x:c r="H159" s="29" t="str">
        <x:v>Turing roster</x:v>
      </x:c>
    </x:row>
    <x:row r="160" ht="36" customHeight="1">
      <x:c r="A160" s="29" t="str">
        <x:v>Turing</x:v>
      </x:c>
      <x:c r="B160" s="33" t="str">
        <x:v>John L. Hennessy</x:v>
      </x:c>
      <x:c r="C160" s="35" t="n">
        <x:v>2017</x:v>
      </x:c>
      <x:c r="D160" s="36" t="str">
        <x:v>2017</x:v>
      </x:c>
      <x:c r="E160" s="36" t="str">
        <x:v>Person</x:v>
      </x:c>
      <x:c r="F160" s="37" t="str">
        <x:v>Not established here</x:v>
      </x:c>
      <x:c r="G160" s="33" t="str">
        <x:v>Not included in this affirmative shortlist. This is not a finding of non-genius.</x:v>
      </x:c>
      <x:c r="H160" s="29" t="str">
        <x:v>Turing roster</x:v>
      </x:c>
    </x:row>
    <x:row r="161" ht="36" customHeight="1">
      <x:c r="A161" s="29" t="str">
        <x:v>Turing</x:v>
      </x:c>
      <x:c r="B161" s="33" t="str">
        <x:v>Geoffrey Hinton</x:v>
      </x:c>
      <x:c r="C161" s="35" t="n">
        <x:v>2018</x:v>
      </x:c>
      <x:c r="D161" s="36" t="str">
        <x:v>2018</x:v>
      </x:c>
      <x:c r="E161" s="36" t="str">
        <x:v>Person</x:v>
      </x:c>
      <x:c r="F161" s="37" t="str">
        <x:v>Clear</x:v>
      </x:c>
      <x:c r="G161" s="33" t="str">
        <x:v>Repeated foundational ideas in neural computation.</x:v>
      </x:c>
      <x:c r="H161" s="29" t="str">
        <x:v>Turing roster</x:v>
      </x:c>
    </x:row>
    <x:row r="162" ht="36" customHeight="1">
      <x:c r="A162" s="29" t="str">
        <x:v>Turing</x:v>
      </x:c>
      <x:c r="B162" s="33" t="str">
        <x:v>Yann LeCun</x:v>
      </x:c>
      <x:c r="C162" s="35" t="n">
        <x:v>2018</x:v>
      </x:c>
      <x:c r="D162" s="36" t="str">
        <x:v>2018</x:v>
      </x:c>
      <x:c r="E162" s="36" t="str">
        <x:v>Person</x:v>
      </x:c>
      <x:c r="F162" s="37" t="str">
        <x:v>Borderline</x:v>
      </x:c>
      <x:c r="G162" s="33" t="str">
        <x:v>Strong case for exceptional originality, but I am less certain of equivalence to the user's very high benchmark.</x:v>
      </x:c>
      <x:c r="H162" s="29" t="str">
        <x:v>Turing roster</x:v>
      </x:c>
    </x:row>
    <x:row r="163" ht="36" customHeight="1">
      <x:c r="A163" s="29" t="str">
        <x:v>Turing</x:v>
      </x:c>
      <x:c r="B163" s="33" t="str">
        <x:v>Yoshua Bengio</x:v>
      </x:c>
      <x:c r="C163" s="35" t="n">
        <x:v>2018</x:v>
      </x:c>
      <x:c r="D163" s="36" t="str">
        <x:v>2018</x:v>
      </x:c>
      <x:c r="E163" s="36" t="str">
        <x:v>Person</x:v>
      </x:c>
      <x:c r="F163" s="37" t="str">
        <x:v>Borderline</x:v>
      </x:c>
      <x:c r="G163" s="33" t="str">
        <x:v>Strong case for exceptional originality, but I am less certain of equivalence to the user's very high benchmark.</x:v>
      </x:c>
      <x:c r="H163" s="29" t="str">
        <x:v>Turing roster</x:v>
      </x:c>
    </x:row>
    <x:row r="164" ht="36" customHeight="1">
      <x:c r="A164" s="29" t="str">
        <x:v>Turing</x:v>
      </x:c>
      <x:c r="B164" s="33" t="str">
        <x:v>Edwin Catmull</x:v>
      </x:c>
      <x:c r="C164" s="35" t="n">
        <x:v>2019</x:v>
      </x:c>
      <x:c r="D164" s="36" t="str">
        <x:v>2019</x:v>
      </x:c>
      <x:c r="E164" s="36" t="str">
        <x:v>Person</x:v>
      </x:c>
      <x:c r="F164" s="37" t="str">
        <x:v>Not established here</x:v>
      </x:c>
      <x:c r="G164" s="33" t="str">
        <x:v>Not included in this affirmative shortlist. This is not a finding of non-genius.</x:v>
      </x:c>
      <x:c r="H164" s="29" t="str">
        <x:v>Turing roster</x:v>
      </x:c>
    </x:row>
    <x:row r="165" ht="36" customHeight="1">
      <x:c r="A165" s="29" t="str">
        <x:v>Turing</x:v>
      </x:c>
      <x:c r="B165" s="33" t="str">
        <x:v>Pat Hanrahan</x:v>
      </x:c>
      <x:c r="C165" s="35" t="n">
        <x:v>2019</x:v>
      </x:c>
      <x:c r="D165" s="36" t="str">
        <x:v>2019</x:v>
      </x:c>
      <x:c r="E165" s="36" t="str">
        <x:v>Person</x:v>
      </x:c>
      <x:c r="F165" s="37" t="str">
        <x:v>Not established here</x:v>
      </x:c>
      <x:c r="G165" s="33" t="str">
        <x:v>Not included in this affirmative shortlist. This is not a finding of non-genius.</x:v>
      </x:c>
      <x:c r="H165" s="29" t="str">
        <x:v>Turing roster</x:v>
      </x:c>
    </x:row>
    <x:row r="166" ht="36" customHeight="1">
      <x:c r="A166" s="29" t="str">
        <x:v>Turing</x:v>
      </x:c>
      <x:c r="B166" s="33" t="str">
        <x:v>Alfred Aho</x:v>
      </x:c>
      <x:c r="C166" s="35" t="n">
        <x:v>2020</x:v>
      </x:c>
      <x:c r="D166" s="36" t="str">
        <x:v>2020</x:v>
      </x:c>
      <x:c r="E166" s="36" t="str">
        <x:v>Person</x:v>
      </x:c>
      <x:c r="F166" s="37" t="str">
        <x:v>Not established here</x:v>
      </x:c>
      <x:c r="G166" s="33" t="str">
        <x:v>Not included in this affirmative shortlist. This is not a finding of non-genius.</x:v>
      </x:c>
      <x:c r="H166" s="29" t="str">
        <x:v>Turing roster</x:v>
      </x:c>
    </x:row>
    <x:row r="167" ht="36" customHeight="1">
      <x:c r="A167" s="29" t="str">
        <x:v>Turing</x:v>
      </x:c>
      <x:c r="B167" s="33" t="str">
        <x:v>Jeffrey Ullman</x:v>
      </x:c>
      <x:c r="C167" s="35" t="n">
        <x:v>2020</x:v>
      </x:c>
      <x:c r="D167" s="36" t="str">
        <x:v>2020</x:v>
      </x:c>
      <x:c r="E167" s="36" t="str">
        <x:v>Person</x:v>
      </x:c>
      <x:c r="F167" s="37" t="str">
        <x:v>Not established here</x:v>
      </x:c>
      <x:c r="G167" s="33" t="str">
        <x:v>Not included in this affirmative shortlist. This is not a finding of non-genius.</x:v>
      </x:c>
      <x:c r="H167" s="29" t="str">
        <x:v>Turing roster</x:v>
      </x:c>
    </x:row>
    <x:row r="168" ht="36" customHeight="1">
      <x:c r="A168" s="29" t="str">
        <x:v>Turing</x:v>
      </x:c>
      <x:c r="B168" s="33" t="str">
        <x:v>Jack Dongarra</x:v>
      </x:c>
      <x:c r="C168" s="35" t="n">
        <x:v>2021</x:v>
      </x:c>
      <x:c r="D168" s="36" t="str">
        <x:v>2021</x:v>
      </x:c>
      <x:c r="E168" s="36" t="str">
        <x:v>Person</x:v>
      </x:c>
      <x:c r="F168" s="37" t="str">
        <x:v>Not established here</x:v>
      </x:c>
      <x:c r="G168" s="33" t="str">
        <x:v>Not included in this affirmative shortlist. This is not a finding of non-genius.</x:v>
      </x:c>
      <x:c r="H168" s="29" t="str">
        <x:v>Turing roster</x:v>
      </x:c>
    </x:row>
    <x:row r="169" ht="36" customHeight="1">
      <x:c r="A169" s="29" t="str">
        <x:v>Turing</x:v>
      </x:c>
      <x:c r="B169" s="33" t="str">
        <x:v>Robert Metcalfe</x:v>
      </x:c>
      <x:c r="C169" s="35" t="n">
        <x:v>2022</x:v>
      </x:c>
      <x:c r="D169" s="36" t="str">
        <x:v>2022</x:v>
      </x:c>
      <x:c r="E169" s="36" t="str">
        <x:v>Person</x:v>
      </x:c>
      <x:c r="F169" s="37" t="str">
        <x:v>Not established here</x:v>
      </x:c>
      <x:c r="G169" s="33" t="str">
        <x:v>Not included in this affirmative shortlist. This is not a finding of non-genius.</x:v>
      </x:c>
      <x:c r="H169" s="29" t="str">
        <x:v>Turing roster</x:v>
      </x:c>
    </x:row>
    <x:row r="170" ht="36" customHeight="1">
      <x:c r="A170" s="29" t="str">
        <x:v>Turing</x:v>
      </x:c>
      <x:c r="B170" s="33" t="str">
        <x:v>Avi Wigderson</x:v>
      </x:c>
      <x:c r="C170" s="35" t="n">
        <x:v>2023</x:v>
      </x:c>
      <x:c r="D170" s="36" t="str">
        <x:v>2023</x:v>
      </x:c>
      <x:c r="E170" s="36" t="str">
        <x:v>Person</x:v>
      </x:c>
      <x:c r="F170" s="37" t="str">
        <x:v>Clear</x:v>
      </x:c>
      <x:c r="G170" s="33" t="str">
        <x:v>Repeated foundational ideas across computational complexity and theoretical computing.</x:v>
      </x:c>
      <x:c r="H170" s="29" t="str">
        <x:v>Turing roster</x:v>
      </x:c>
    </x:row>
    <x:row r="171" ht="36" customHeight="1">
      <x:c r="A171" s="29" t="str">
        <x:v>Turing</x:v>
      </x:c>
      <x:c r="B171" s="33" t="str">
        <x:v>Andrew Barto</x:v>
      </x:c>
      <x:c r="C171" s="35" t="n">
        <x:v>2024</x:v>
      </x:c>
      <x:c r="D171" s="36" t="str">
        <x:v>2024</x:v>
      </x:c>
      <x:c r="E171" s="36" t="str">
        <x:v>Person</x:v>
      </x:c>
      <x:c r="F171" s="37" t="str">
        <x:v>Not established here</x:v>
      </x:c>
      <x:c r="G171" s="33" t="str">
        <x:v>Not included in this affirmative shortlist. This is not a finding of non-genius.</x:v>
      </x:c>
      <x:c r="H171" s="29" t="str">
        <x:v>Turing roster</x:v>
      </x:c>
    </x:row>
    <x:row r="172" ht="36" customHeight="1">
      <x:c r="A172" s="29" t="str">
        <x:v>Turing</x:v>
      </x:c>
      <x:c r="B172" s="33" t="str">
        <x:v>Richard S. Sutton</x:v>
      </x:c>
      <x:c r="C172" s="35" t="n">
        <x:v>2024</x:v>
      </x:c>
      <x:c r="D172" s="36" t="str">
        <x:v>2024</x:v>
      </x:c>
      <x:c r="E172" s="36" t="str">
        <x:v>Person</x:v>
      </x:c>
      <x:c r="F172" s="37" t="str">
        <x:v>Borderline</x:v>
      </x:c>
      <x:c r="G172" s="33" t="str">
        <x:v>Strong case for exceptional originality, but I am less certain of equivalence to the user's very high benchmark.</x:v>
      </x:c>
      <x:c r="H172" s="29" t="str">
        <x:v>Turing roster</x:v>
      </x:c>
    </x:row>
    <x:row r="173" ht="36" customHeight="1">
      <x:c r="A173" s="29" t="str">
        <x:v>Turing</x:v>
      </x:c>
      <x:c r="B173" s="33" t="str">
        <x:v>Charles H. Bennett</x:v>
      </x:c>
      <x:c r="C173" s="35" t="n">
        <x:v>2025</x:v>
      </x:c>
      <x:c r="D173" s="36" t="str">
        <x:v>2025</x:v>
      </x:c>
      <x:c r="E173" s="36" t="str">
        <x:v>Person</x:v>
      </x:c>
      <x:c r="F173" s="37" t="str">
        <x:v>Clear</x:v>
      </x:c>
      <x:c r="G173" s="33" t="str">
        <x:v>Reversible computation and foundational quantum information.</x:v>
      </x:c>
      <x:c r="H173" s="29" t="str">
        <x:v>Turing roster</x:v>
      </x:c>
    </x:row>
    <x:row r="174" ht="36" customHeight="1">
      <x:c r="A174" s="29" t="str">
        <x:v>Turing</x:v>
      </x:c>
      <x:c r="B174" s="33" t="str">
        <x:v>Gilles Brassard</x:v>
      </x:c>
      <x:c r="C174" s="35" t="n">
        <x:v>2025</x:v>
      </x:c>
      <x:c r="D174" s="36" t="str">
        <x:v>2025</x:v>
      </x:c>
      <x:c r="E174" s="36" t="str">
        <x:v>Person</x:v>
      </x:c>
      <x:c r="F174" s="37" t="str">
        <x:v>Clear</x:v>
      </x:c>
      <x:c r="G174" s="33" t="str">
        <x:v>Foundational quantum cryptography and information.</x:v>
      </x:c>
      <x:c r="H174" s="29" t="str">
        <x:v>Turing roster</x:v>
      </x:c>
    </x:row>
    <x:row r="175" ht="36" customHeight="1">
      <x:c r="A175" s="29" t="str">
        <x:v>Physics</x:v>
      </x:c>
      <x:c r="B175" s="33" t="str">
        <x:v>Wilhelm Röntgen</x:v>
      </x:c>
      <x:c r="C175" s="35" t="n">
        <x:v>1901</x:v>
      </x:c>
      <x:c r="D175" s="36" t="str">
        <x:v>1901</x:v>
      </x:c>
      <x:c r="E175" s="36" t="str">
        <x:v>Person</x:v>
      </x:c>
      <x:c r="F175" s="37" t="str">
        <x:v>Not established here</x:v>
      </x:c>
      <x:c r="G175" s="33" t="str">
        <x:v>Not included in this affirmative shortlist. This is not a finding of non-genius.</x:v>
      </x:c>
      <x:c r="H175" s="29" t="str">
        <x:v>Physics roster</x:v>
      </x:c>
    </x:row>
    <x:row r="176" ht="36" customHeight="1">
      <x:c r="A176" s="29" t="str">
        <x:v>Physics</x:v>
      </x:c>
      <x:c r="B176" s="33" t="str">
        <x:v>Hendrik Lorentz</x:v>
      </x:c>
      <x:c r="C176" s="35" t="n">
        <x:v>1902</x:v>
      </x:c>
      <x:c r="D176" s="36" t="str">
        <x:v>1902</x:v>
      </x:c>
      <x:c r="E176" s="36" t="str">
        <x:v>Person</x:v>
      </x:c>
      <x:c r="F176" s="37" t="str">
        <x:v>Clear</x:v>
      </x:c>
      <x:c r="G176" s="33" t="str">
        <x:v>Foundational electromagnetic theory and relativistic transformations.</x:v>
      </x:c>
      <x:c r="H176" s="29" t="str">
        <x:v>Physics roster</x:v>
      </x:c>
    </x:row>
    <x:row r="177" ht="36" customHeight="1">
      <x:c r="A177" s="29" t="str">
        <x:v>Physics</x:v>
      </x:c>
      <x:c r="B177" s="33" t="str">
        <x:v>Pieter Zeeman</x:v>
      </x:c>
      <x:c r="C177" s="35" t="n">
        <x:v>1902</x:v>
      </x:c>
      <x:c r="D177" s="36" t="str">
        <x:v>1902</x:v>
      </x:c>
      <x:c r="E177" s="36" t="str">
        <x:v>Person</x:v>
      </x:c>
      <x:c r="F177" s="37" t="str">
        <x:v>Not established here</x:v>
      </x:c>
      <x:c r="G177" s="33" t="str">
        <x:v>Not included in this affirmative shortlist. This is not a finding of non-genius.</x:v>
      </x:c>
      <x:c r="H177" s="29" t="str">
        <x:v>Physics roster</x:v>
      </x:c>
    </x:row>
    <x:row r="178" ht="36" customHeight="1">
      <x:c r="A178" s="29" t="str">
        <x:v>Physics</x:v>
      </x:c>
      <x:c r="B178" s="33" t="str">
        <x:v>Henri Becquerel</x:v>
      </x:c>
      <x:c r="C178" s="35" t="n">
        <x:v>1903</x:v>
      </x:c>
      <x:c r="D178" s="36" t="str">
        <x:v>1903</x:v>
      </x:c>
      <x:c r="E178" s="36" t="str">
        <x:v>Person</x:v>
      </x:c>
      <x:c r="F178" s="37" t="str">
        <x:v>Not established here</x:v>
      </x:c>
      <x:c r="G178" s="33" t="str">
        <x:v>Not included in this affirmative shortlist. This is not a finding of non-genius.</x:v>
      </x:c>
      <x:c r="H178" s="29" t="str">
        <x:v>Physics roster</x:v>
      </x:c>
    </x:row>
    <x:row r="179" ht="36" customHeight="1">
      <x:c r="A179" s="29" t="str">
        <x:v>Physics</x:v>
      </x:c>
      <x:c r="B179" s="33" t="str">
        <x:v>Marie Curie</x:v>
      </x:c>
      <x:c r="C179" s="35" t="n">
        <x:v>1903</x:v>
      </x:c>
      <x:c r="D179" s="36" t="str">
        <x:v>1903</x:v>
      </x:c>
      <x:c r="E179" s="36" t="str">
        <x:v>Person</x:v>
      </x:c>
      <x:c r="F179" s="37" t="str">
        <x:v>Clear</x:v>
      </x:c>
      <x:c r="G179" s="33" t="str">
        <x:v>Created a quantitative science of radioactivity and isolated new elements.</x:v>
      </x:c>
      <x:c r="H179" s="29" t="str">
        <x:v>Physics roster</x:v>
      </x:c>
    </x:row>
    <x:row r="180" ht="36" customHeight="1">
      <x:c r="A180" s="29" t="str">
        <x:v>Physics</x:v>
      </x:c>
      <x:c r="B180" s="33" t="str">
        <x:v>Pierre Curie</x:v>
      </x:c>
      <x:c r="C180" s="35" t="n">
        <x:v>1903</x:v>
      </x:c>
      <x:c r="D180" s="36" t="str">
        <x:v>1903</x:v>
      </x:c>
      <x:c r="E180" s="36" t="str">
        <x:v>Person</x:v>
      </x:c>
      <x:c r="F180" s="37" t="str">
        <x:v>Borderline</x:v>
      </x:c>
      <x:c r="G180" s="33" t="str">
        <x:v>Strong case for exceptional originality, but I am less certain of equivalence to the user's very high benchmark.</x:v>
      </x:c>
      <x:c r="H180" s="29" t="str">
        <x:v>Physics roster</x:v>
      </x:c>
    </x:row>
    <x:row r="181" ht="36" customHeight="1">
      <x:c r="A181" s="29" t="str">
        <x:v>Physics</x:v>
      </x:c>
      <x:c r="B181" s="33" t="str">
        <x:v>The Lord Rayleigh</x:v>
      </x:c>
      <x:c r="C181" s="35" t="n">
        <x:v>1904</x:v>
      </x:c>
      <x:c r="D181" s="36" t="str">
        <x:v>1904</x:v>
      </x:c>
      <x:c r="E181" s="36" t="str">
        <x:v>Person</x:v>
      </x:c>
      <x:c r="F181" s="37" t="str">
        <x:v>Clear</x:v>
      </x:c>
      <x:c r="G181" s="33" t="str">
        <x:v>Extraordinary original work across waves, optics, acoustics and statistical physics.</x:v>
      </x:c>
      <x:c r="H181" s="29" t="str">
        <x:v>Physics roster</x:v>
      </x:c>
    </x:row>
    <x:row r="182" ht="36" customHeight="1">
      <x:c r="A182" s="29" t="str">
        <x:v>Physics</x:v>
      </x:c>
      <x:c r="B182" s="33" t="str">
        <x:v>Philipp Lenard</x:v>
      </x:c>
      <x:c r="C182" s="35" t="n">
        <x:v>1905</x:v>
      </x:c>
      <x:c r="D182" s="36" t="str">
        <x:v>1905</x:v>
      </x:c>
      <x:c r="E182" s="36" t="str">
        <x:v>Person</x:v>
      </x:c>
      <x:c r="F182" s="37" t="str">
        <x:v>Not established here</x:v>
      </x:c>
      <x:c r="G182" s="33" t="str">
        <x:v>Not included in this affirmative shortlist. This is not a finding of non-genius.</x:v>
      </x:c>
      <x:c r="H182" s="29" t="str">
        <x:v>Physics roster</x:v>
      </x:c>
    </x:row>
    <x:row r="183" ht="36" customHeight="1">
      <x:c r="A183" s="29" t="str">
        <x:v>Physics</x:v>
      </x:c>
      <x:c r="B183" s="33" t="str">
        <x:v>Joseph Thomson</x:v>
      </x:c>
      <x:c r="C183" s="35" t="n">
        <x:v>1906</x:v>
      </x:c>
      <x:c r="D183" s="36" t="str">
        <x:v>1906</x:v>
      </x:c>
      <x:c r="E183" s="36" t="str">
        <x:v>Person</x:v>
      </x:c>
      <x:c r="F183" s="37" t="str">
        <x:v>Borderline</x:v>
      </x:c>
      <x:c r="G183" s="33" t="str">
        <x:v>Strong case for exceptional originality, but I am less certain of equivalence to the user's very high benchmark.</x:v>
      </x:c>
      <x:c r="H183" s="29" t="str">
        <x:v>Physics roster</x:v>
      </x:c>
    </x:row>
    <x:row r="184" ht="36" customHeight="1">
      <x:c r="A184" s="29" t="str">
        <x:v>Physics</x:v>
      </x:c>
      <x:c r="B184" s="33" t="str">
        <x:v>Albert Michelson</x:v>
      </x:c>
      <x:c r="C184" s="35" t="n">
        <x:v>1907</x:v>
      </x:c>
      <x:c r="D184" s="36" t="str">
        <x:v>1907</x:v>
      </x:c>
      <x:c r="E184" s="36" t="str">
        <x:v>Person</x:v>
      </x:c>
      <x:c r="F184" s="37" t="str">
        <x:v>Not established here</x:v>
      </x:c>
      <x:c r="G184" s="33" t="str">
        <x:v>Not included in this affirmative shortlist. This is not a finding of non-genius.</x:v>
      </x:c>
      <x:c r="H184" s="29" t="str">
        <x:v>Physics roster</x:v>
      </x:c>
    </x:row>
    <x:row r="185" ht="36" customHeight="1">
      <x:c r="A185" s="29" t="str">
        <x:v>Physics</x:v>
      </x:c>
      <x:c r="B185" s="33" t="str">
        <x:v>Gabriel Lippmann</x:v>
      </x:c>
      <x:c r="C185" s="35" t="n">
        <x:v>1908</x:v>
      </x:c>
      <x:c r="D185" s="36" t="str">
        <x:v>1908</x:v>
      </x:c>
      <x:c r="E185" s="36" t="str">
        <x:v>Person</x:v>
      </x:c>
      <x:c r="F185" s="37" t="str">
        <x:v>Not established here</x:v>
      </x:c>
      <x:c r="G185" s="33" t="str">
        <x:v>Not included in this affirmative shortlist. This is not a finding of non-genius.</x:v>
      </x:c>
      <x:c r="H185" s="29" t="str">
        <x:v>Physics roster</x:v>
      </x:c>
    </x:row>
    <x:row r="186" ht="36" customHeight="1">
      <x:c r="A186" s="29" t="str">
        <x:v>Physics</x:v>
      </x:c>
      <x:c r="B186" s="33" t="str">
        <x:v>Ferdinand Braun</x:v>
      </x:c>
      <x:c r="C186" s="35" t="n">
        <x:v>1909</x:v>
      </x:c>
      <x:c r="D186" s="36" t="str">
        <x:v>1909</x:v>
      </x:c>
      <x:c r="E186" s="36" t="str">
        <x:v>Person</x:v>
      </x:c>
      <x:c r="F186" s="37" t="str">
        <x:v>Not established here</x:v>
      </x:c>
      <x:c r="G186" s="33" t="str">
        <x:v>Not included in this affirmative shortlist. This is not a finding of non-genius.</x:v>
      </x:c>
      <x:c r="H186" s="29" t="str">
        <x:v>Physics roster</x:v>
      </x:c>
    </x:row>
    <x:row r="187" ht="36" customHeight="1">
      <x:c r="A187" s="29" t="str">
        <x:v>Physics</x:v>
      </x:c>
      <x:c r="B187" s="33" t="str">
        <x:v>Guglielmo Marconi</x:v>
      </x:c>
      <x:c r="C187" s="35" t="n">
        <x:v>1909</x:v>
      </x:c>
      <x:c r="D187" s="36" t="str">
        <x:v>1909</x:v>
      </x:c>
      <x:c r="E187" s="36" t="str">
        <x:v>Person</x:v>
      </x:c>
      <x:c r="F187" s="37" t="str">
        <x:v>Borderline</x:v>
      </x:c>
      <x:c r="G187" s="33" t="str">
        <x:v>Strong case for exceptional originality, but I am less certain of equivalence to the user's very high benchmark.</x:v>
      </x:c>
      <x:c r="H187" s="29" t="str">
        <x:v>Physics roster</x:v>
      </x:c>
    </x:row>
    <x:row r="188" ht="36" customHeight="1">
      <x:c r="A188" s="29" t="str">
        <x:v>Physics</x:v>
      </x:c>
      <x:c r="B188" s="33" t="str">
        <x:v>Johannes Diderik van der Waals</x:v>
      </x:c>
      <x:c r="C188" s="35" t="n">
        <x:v>1910</x:v>
      </x:c>
      <x:c r="D188" s="36" t="str">
        <x:v>1910</x:v>
      </x:c>
      <x:c r="E188" s="36" t="str">
        <x:v>Person</x:v>
      </x:c>
      <x:c r="F188" s="37" t="str">
        <x:v>Borderline</x:v>
      </x:c>
      <x:c r="G188" s="33" t="str">
        <x:v>Strong case for exceptional originality, but I am less certain of equivalence to the user's very high benchmark.</x:v>
      </x:c>
      <x:c r="H188" s="29" t="str">
        <x:v>Physics roster</x:v>
      </x:c>
    </x:row>
    <x:row r="189" ht="36" customHeight="1">
      <x:c r="A189" s="29" t="str">
        <x:v>Physics</x:v>
      </x:c>
      <x:c r="B189" s="33" t="str">
        <x:v>Wilhelm Wien</x:v>
      </x:c>
      <x:c r="C189" s="35" t="n">
        <x:v>1911</x:v>
      </x:c>
      <x:c r="D189" s="36" t="str">
        <x:v>1911</x:v>
      </x:c>
      <x:c r="E189" s="36" t="str">
        <x:v>Person</x:v>
      </x:c>
      <x:c r="F189" s="37" t="str">
        <x:v>Not established here</x:v>
      </x:c>
      <x:c r="G189" s="33" t="str">
        <x:v>Not included in this affirmative shortlist. This is not a finding of non-genius.</x:v>
      </x:c>
      <x:c r="H189" s="29" t="str">
        <x:v>Physics roster</x:v>
      </x:c>
    </x:row>
    <x:row r="190" ht="36" customHeight="1">
      <x:c r="A190" s="29" t="str">
        <x:v>Physics</x:v>
      </x:c>
      <x:c r="B190" s="33" t="str">
        <x:v>Gustaf Dalén</x:v>
      </x:c>
      <x:c r="C190" s="35" t="n">
        <x:v>1912</x:v>
      </x:c>
      <x:c r="D190" s="36" t="str">
        <x:v>1912</x:v>
      </x:c>
      <x:c r="E190" s="36" t="str">
        <x:v>Person</x:v>
      </x:c>
      <x:c r="F190" s="37" t="str">
        <x:v>Not established here</x:v>
      </x:c>
      <x:c r="G190" s="33" t="str">
        <x:v>Not included in this affirmative shortlist. This is not a finding of non-genius.</x:v>
      </x:c>
      <x:c r="H190" s="29" t="str">
        <x:v>Physics roster</x:v>
      </x:c>
    </x:row>
    <x:row r="191" ht="36" customHeight="1">
      <x:c r="A191" s="29" t="str">
        <x:v>Physics</x:v>
      </x:c>
      <x:c r="B191" s="33" t="str">
        <x:v>Heike Kamerlingh Onnes</x:v>
      </x:c>
      <x:c r="C191" s="35" t="n">
        <x:v>1913</x:v>
      </x:c>
      <x:c r="D191" s="36" t="str">
        <x:v>1913</x:v>
      </x:c>
      <x:c r="E191" s="36" t="str">
        <x:v>Person</x:v>
      </x:c>
      <x:c r="F191" s="37" t="str">
        <x:v>Not established here</x:v>
      </x:c>
      <x:c r="G191" s="33" t="str">
        <x:v>Not included in this affirmative shortlist. This is not a finding of non-genius.</x:v>
      </x:c>
      <x:c r="H191" s="29" t="str">
        <x:v>Physics roster</x:v>
      </x:c>
    </x:row>
    <x:row r="192" ht="36" customHeight="1">
      <x:c r="A192" s="29" t="str">
        <x:v>Physics</x:v>
      </x:c>
      <x:c r="B192" s="33" t="str">
        <x:v>Max von Laue</x:v>
      </x:c>
      <x:c r="C192" s="35" t="n">
        <x:v>1914</x:v>
      </x:c>
      <x:c r="D192" s="36" t="str">
        <x:v>1914</x:v>
      </x:c>
      <x:c r="E192" s="36" t="str">
        <x:v>Person</x:v>
      </x:c>
      <x:c r="F192" s="37" t="str">
        <x:v>Not established here</x:v>
      </x:c>
      <x:c r="G192" s="33" t="str">
        <x:v>Not included in this affirmative shortlist. This is not a finding of non-genius.</x:v>
      </x:c>
      <x:c r="H192" s="29" t="str">
        <x:v>Physics roster</x:v>
      </x:c>
    </x:row>
    <x:row r="193" ht="36" customHeight="1">
      <x:c r="A193" s="29" t="str">
        <x:v>Physics</x:v>
      </x:c>
      <x:c r="B193" s="33" t="str">
        <x:v>Lawrence Bragg</x:v>
      </x:c>
      <x:c r="C193" s="35" t="n">
        <x:v>1915</x:v>
      </x:c>
      <x:c r="D193" s="36" t="str">
        <x:v>1915</x:v>
      </x:c>
      <x:c r="E193" s="36" t="str">
        <x:v>Person</x:v>
      </x:c>
      <x:c r="F193" s="37" t="str">
        <x:v>Borderline</x:v>
      </x:c>
      <x:c r="G193" s="33" t="str">
        <x:v>Strong case for exceptional originality, but I am less certain of equivalence to the user's very high benchmark.</x:v>
      </x:c>
      <x:c r="H193" s="29" t="str">
        <x:v>Physics roster</x:v>
      </x:c>
    </x:row>
    <x:row r="194" ht="36" customHeight="1">
      <x:c r="A194" s="29" t="str">
        <x:v>Physics</x:v>
      </x:c>
      <x:c r="B194" s="33" t="str">
        <x:v>William Henry Bragg</x:v>
      </x:c>
      <x:c r="C194" s="35" t="n">
        <x:v>1915</x:v>
      </x:c>
      <x:c r="D194" s="36" t="str">
        <x:v>1915</x:v>
      </x:c>
      <x:c r="E194" s="36" t="str">
        <x:v>Person</x:v>
      </x:c>
      <x:c r="F194" s="37" t="str">
        <x:v>Not established here</x:v>
      </x:c>
      <x:c r="G194" s="33" t="str">
        <x:v>Not included in this affirmative shortlist. This is not a finding of non-genius.</x:v>
      </x:c>
      <x:c r="H194" s="29" t="str">
        <x:v>Physics roster</x:v>
      </x:c>
    </x:row>
    <x:row r="195" ht="36" customHeight="1">
      <x:c r="A195" s="29" t="str">
        <x:v>Physics</x:v>
      </x:c>
      <x:c r="B195" s="33" t="str">
        <x:v>Charles Barkla</x:v>
      </x:c>
      <x:c r="C195" s="35" t="n">
        <x:v>1917</x:v>
      </x:c>
      <x:c r="D195" s="36" t="str">
        <x:v>1917</x:v>
      </x:c>
      <x:c r="E195" s="36" t="str">
        <x:v>Person</x:v>
      </x:c>
      <x:c r="F195" s="37" t="str">
        <x:v>Not established here</x:v>
      </x:c>
      <x:c r="G195" s="33" t="str">
        <x:v>Not included in this affirmative shortlist. This is not a finding of non-genius.</x:v>
      </x:c>
      <x:c r="H195" s="29" t="str">
        <x:v>Physics roster</x:v>
      </x:c>
    </x:row>
    <x:row r="196" ht="36" customHeight="1">
      <x:c r="A196" s="29" t="str">
        <x:v>Physics</x:v>
      </x:c>
      <x:c r="B196" s="33" t="str">
        <x:v>Max Planck</x:v>
      </x:c>
      <x:c r="C196" s="35" t="n">
        <x:v>1918</x:v>
      </x:c>
      <x:c r="D196" s="36" t="str">
        <x:v>1918</x:v>
      </x:c>
      <x:c r="E196" s="36" t="str">
        <x:v>Person</x:v>
      </x:c>
      <x:c r="F196" s="37" t="str">
        <x:v>Clear</x:v>
      </x:c>
      <x:c r="G196" s="33" t="str">
        <x:v>Introduced energy quantization.</x:v>
      </x:c>
      <x:c r="H196" s="29" t="str">
        <x:v>Physics roster</x:v>
      </x:c>
    </x:row>
    <x:row r="197" ht="36" customHeight="1">
      <x:c r="A197" s="29" t="str">
        <x:v>Physics</x:v>
      </x:c>
      <x:c r="B197" s="33" t="str">
        <x:v>Johannes Stark</x:v>
      </x:c>
      <x:c r="C197" s="35" t="n">
        <x:v>1919</x:v>
      </x:c>
      <x:c r="D197" s="36" t="str">
        <x:v>1919</x:v>
      </x:c>
      <x:c r="E197" s="36" t="str">
        <x:v>Person</x:v>
      </x:c>
      <x:c r="F197" s="37" t="str">
        <x:v>Not established here</x:v>
      </x:c>
      <x:c r="G197" s="33" t="str">
        <x:v>Not included in this affirmative shortlist. This is not a finding of non-genius.</x:v>
      </x:c>
      <x:c r="H197" s="29" t="str">
        <x:v>Physics roster</x:v>
      </x:c>
    </x:row>
    <x:row r="198" ht="36" customHeight="1">
      <x:c r="A198" s="29" t="str">
        <x:v>Physics</x:v>
      </x:c>
      <x:c r="B198" s="33" t="str">
        <x:v>Charles-Édouard Guillaume</x:v>
      </x:c>
      <x:c r="C198" s="35" t="n">
        <x:v>1920</x:v>
      </x:c>
      <x:c r="D198" s="36" t="str">
        <x:v>1920</x:v>
      </x:c>
      <x:c r="E198" s="36" t="str">
        <x:v>Person</x:v>
      </x:c>
      <x:c r="F198" s="37" t="str">
        <x:v>Not established here</x:v>
      </x:c>
      <x:c r="G198" s="33" t="str">
        <x:v>Not included in this affirmative shortlist. This is not a finding of non-genius.</x:v>
      </x:c>
      <x:c r="H198" s="29" t="str">
        <x:v>Physics roster</x:v>
      </x:c>
    </x:row>
    <x:row r="199" ht="36" customHeight="1">
      <x:c r="A199" s="29" t="str">
        <x:v>Physics</x:v>
      </x:c>
      <x:c r="B199" s="33" t="str">
        <x:v>Albert Einstein</x:v>
      </x:c>
      <x:c r="C199" s="35" t="n">
        <x:v>1921</x:v>
      </x:c>
      <x:c r="D199" s="36" t="str">
        <x:v>1921</x:v>
      </x:c>
      <x:c r="E199" s="36" t="str">
        <x:v>Person</x:v>
      </x:c>
      <x:c r="F199" s="37" t="str">
        <x:v>Clear</x:v>
      </x:c>
      <x:c r="G199" s="33" t="str">
        <x:v>Relativity and several independent foundational advances.</x:v>
      </x:c>
      <x:c r="H199" s="29" t="str">
        <x:v>Physics roster</x:v>
      </x:c>
    </x:row>
    <x:row r="200" ht="36" customHeight="1">
      <x:c r="A200" s="29" t="str">
        <x:v>Physics</x:v>
      </x:c>
      <x:c r="B200" s="33" t="str">
        <x:v>Niels Bohr</x:v>
      </x:c>
      <x:c r="C200" s="35" t="n">
        <x:v>1922</x:v>
      </x:c>
      <x:c r="D200" s="36" t="str">
        <x:v>1922</x:v>
      </x:c>
      <x:c r="E200" s="36" t="str">
        <x:v>Person</x:v>
      </x:c>
      <x:c r="F200" s="37" t="str">
        <x:v>Clear</x:v>
      </x:c>
      <x:c r="G200" s="33" t="str">
        <x:v>Quantum atomic theory and foundational quantum reasoning.</x:v>
      </x:c>
      <x:c r="H200" s="29" t="str">
        <x:v>Physics roster</x:v>
      </x:c>
    </x:row>
    <x:row r="201" ht="36" customHeight="1">
      <x:c r="A201" s="29" t="str">
        <x:v>Physics</x:v>
      </x:c>
      <x:c r="B201" s="33" t="str">
        <x:v>Robert Millikan</x:v>
      </x:c>
      <x:c r="C201" s="35" t="n">
        <x:v>1923</x:v>
      </x:c>
      <x:c r="D201" s="36" t="str">
        <x:v>1923</x:v>
      </x:c>
      <x:c r="E201" s="36" t="str">
        <x:v>Person</x:v>
      </x:c>
      <x:c r="F201" s="37" t="str">
        <x:v>Not established here</x:v>
      </x:c>
      <x:c r="G201" s="33" t="str">
        <x:v>Not included in this affirmative shortlist. This is not a finding of non-genius.</x:v>
      </x:c>
      <x:c r="H201" s="29" t="str">
        <x:v>Physics roster</x:v>
      </x:c>
    </x:row>
    <x:row r="202" ht="36" customHeight="1">
      <x:c r="A202" s="29" t="str">
        <x:v>Physics</x:v>
      </x:c>
      <x:c r="B202" s="33" t="str">
        <x:v>Manne Siegbahn</x:v>
      </x:c>
      <x:c r="C202" s="35" t="n">
        <x:v>1924</x:v>
      </x:c>
      <x:c r="D202" s="36" t="str">
        <x:v>1924</x:v>
      </x:c>
      <x:c r="E202" s="36" t="str">
        <x:v>Person</x:v>
      </x:c>
      <x:c r="F202" s="37" t="str">
        <x:v>Not established here</x:v>
      </x:c>
      <x:c r="G202" s="33" t="str">
        <x:v>Not included in this affirmative shortlist. This is not a finding of non-genius.</x:v>
      </x:c>
      <x:c r="H202" s="29" t="str">
        <x:v>Physics roster</x:v>
      </x:c>
    </x:row>
    <x:row r="203" ht="36" customHeight="1">
      <x:c r="A203" s="29" t="str">
        <x:v>Physics</x:v>
      </x:c>
      <x:c r="B203" s="33" t="str">
        <x:v>Gustav Ludwig Hertz</x:v>
      </x:c>
      <x:c r="C203" s="35" t="n">
        <x:v>1925</x:v>
      </x:c>
      <x:c r="D203" s="36" t="str">
        <x:v>1925</x:v>
      </x:c>
      <x:c r="E203" s="36" t="str">
        <x:v>Person</x:v>
      </x:c>
      <x:c r="F203" s="37" t="str">
        <x:v>Not established here</x:v>
      </x:c>
      <x:c r="G203" s="33" t="str">
        <x:v>Not included in this affirmative shortlist. This is not a finding of non-genius.</x:v>
      </x:c>
      <x:c r="H203" s="29" t="str">
        <x:v>Physics roster</x:v>
      </x:c>
    </x:row>
    <x:row r="204" ht="36" customHeight="1">
      <x:c r="A204" s="29" t="str">
        <x:v>Physics</x:v>
      </x:c>
      <x:c r="B204" s="33" t="str">
        <x:v>James Franck</x:v>
      </x:c>
      <x:c r="C204" s="35" t="n">
        <x:v>1925</x:v>
      </x:c>
      <x:c r="D204" s="36" t="str">
        <x:v>1925</x:v>
      </x:c>
      <x:c r="E204" s="36" t="str">
        <x:v>Person</x:v>
      </x:c>
      <x:c r="F204" s="37" t="str">
        <x:v>Not established here</x:v>
      </x:c>
      <x:c r="G204" s="33" t="str">
        <x:v>Not included in this affirmative shortlist. This is not a finding of non-genius.</x:v>
      </x:c>
      <x:c r="H204" s="29" t="str">
        <x:v>Physics roster</x:v>
      </x:c>
    </x:row>
    <x:row r="205" ht="36" customHeight="1">
      <x:c r="A205" s="29" t="str">
        <x:v>Physics</x:v>
      </x:c>
      <x:c r="B205" s="33" t="str">
        <x:v>Jean Perrin</x:v>
      </x:c>
      <x:c r="C205" s="35" t="n">
        <x:v>1926</x:v>
      </x:c>
      <x:c r="D205" s="36" t="str">
        <x:v>1926</x:v>
      </x:c>
      <x:c r="E205" s="36" t="str">
        <x:v>Person</x:v>
      </x:c>
      <x:c r="F205" s="37" t="str">
        <x:v>Not established here</x:v>
      </x:c>
      <x:c r="G205" s="33" t="str">
        <x:v>Not included in this affirmative shortlist. This is not a finding of non-genius.</x:v>
      </x:c>
      <x:c r="H205" s="29" t="str">
        <x:v>Physics roster</x:v>
      </x:c>
    </x:row>
    <x:row r="206" ht="36" customHeight="1">
      <x:c r="A206" s="29" t="str">
        <x:v>Physics</x:v>
      </x:c>
      <x:c r="B206" s="33" t="str">
        <x:v>Arthur Compton</x:v>
      </x:c>
      <x:c r="C206" s="35" t="n">
        <x:v>1927</x:v>
      </x:c>
      <x:c r="D206" s="36" t="str">
        <x:v>1927</x:v>
      </x:c>
      <x:c r="E206" s="36" t="str">
        <x:v>Person</x:v>
      </x:c>
      <x:c r="F206" s="37" t="str">
        <x:v>Not established here</x:v>
      </x:c>
      <x:c r="G206" s="33" t="str">
        <x:v>Not included in this affirmative shortlist. This is not a finding of non-genius.</x:v>
      </x:c>
      <x:c r="H206" s="29" t="str">
        <x:v>Physics roster</x:v>
      </x:c>
    </x:row>
    <x:row r="207" ht="36" customHeight="1">
      <x:c r="A207" s="29" t="str">
        <x:v>Physics</x:v>
      </x:c>
      <x:c r="B207" s="33" t="str">
        <x:v>Charles Wilson</x:v>
      </x:c>
      <x:c r="C207" s="35" t="n">
        <x:v>1927</x:v>
      </x:c>
      <x:c r="D207" s="36" t="str">
        <x:v>1927</x:v>
      </x:c>
      <x:c r="E207" s="36" t="str">
        <x:v>Person</x:v>
      </x:c>
      <x:c r="F207" s="37" t="str">
        <x:v>Not established here</x:v>
      </x:c>
      <x:c r="G207" s="33" t="str">
        <x:v>Not included in this affirmative shortlist. This is not a finding of non-genius.</x:v>
      </x:c>
      <x:c r="H207" s="29" t="str">
        <x:v>Physics roster</x:v>
      </x:c>
    </x:row>
    <x:row r="208" ht="36" customHeight="1">
      <x:c r="A208" s="29" t="str">
        <x:v>Physics</x:v>
      </x:c>
      <x:c r="B208" s="33" t="str">
        <x:v>Owen Richardson</x:v>
      </x:c>
      <x:c r="C208" s="35" t="n">
        <x:v>1928</x:v>
      </x:c>
      <x:c r="D208" s="36" t="str">
        <x:v>1928</x:v>
      </x:c>
      <x:c r="E208" s="36" t="str">
        <x:v>Person</x:v>
      </x:c>
      <x:c r="F208" s="37" t="str">
        <x:v>Not established here</x:v>
      </x:c>
      <x:c r="G208" s="33" t="str">
        <x:v>Not included in this affirmative shortlist. This is not a finding of non-genius.</x:v>
      </x:c>
      <x:c r="H208" s="29" t="str">
        <x:v>Physics roster</x:v>
      </x:c>
    </x:row>
    <x:row r="209" ht="36" customHeight="1">
      <x:c r="A209" s="29" t="str">
        <x:v>Physics</x:v>
      </x:c>
      <x:c r="B209" s="33" t="str">
        <x:v>Louis de Broglie</x:v>
      </x:c>
      <x:c r="C209" s="35" t="n">
        <x:v>1929</x:v>
      </x:c>
      <x:c r="D209" s="36" t="str">
        <x:v>1929</x:v>
      </x:c>
      <x:c r="E209" s="36" t="str">
        <x:v>Person</x:v>
      </x:c>
      <x:c r="F209" s="37" t="str">
        <x:v>Clear</x:v>
      </x:c>
      <x:c r="G209" s="33" t="str">
        <x:v>Matter waves as a radical conceptual leap.</x:v>
      </x:c>
      <x:c r="H209" s="29" t="str">
        <x:v>Physics roster</x:v>
      </x:c>
    </x:row>
    <x:row r="210" ht="36" customHeight="1">
      <x:c r="A210" s="29" t="str">
        <x:v>Physics</x:v>
      </x:c>
      <x:c r="B210" s="33" t="str">
        <x:v>C. V. Raman</x:v>
      </x:c>
      <x:c r="C210" s="35" t="n">
        <x:v>1930</x:v>
      </x:c>
      <x:c r="D210" s="36" t="str">
        <x:v>1930</x:v>
      </x:c>
      <x:c r="E210" s="36" t="str">
        <x:v>Person</x:v>
      </x:c>
      <x:c r="F210" s="37" t="str">
        <x:v>Borderline</x:v>
      </x:c>
      <x:c r="G210" s="33" t="str">
        <x:v>Strong case for exceptional originality, but I am less certain of equivalence to the user's very high benchmark.</x:v>
      </x:c>
      <x:c r="H210" s="29" t="str">
        <x:v>Physics roster</x:v>
      </x:c>
    </x:row>
    <x:row r="211" ht="36" customHeight="1">
      <x:c r="A211" s="29" t="str">
        <x:v>Physics</x:v>
      </x:c>
      <x:c r="B211" s="33" t="str">
        <x:v>Werner Heisenberg</x:v>
      </x:c>
      <x:c r="C211" s="35" t="n">
        <x:v>1932</x:v>
      </x:c>
      <x:c r="D211" s="36" t="str">
        <x:v>1932</x:v>
      </x:c>
      <x:c r="E211" s="36" t="str">
        <x:v>Person</x:v>
      </x:c>
      <x:c r="F211" s="37" t="str">
        <x:v>Clear</x:v>
      </x:c>
      <x:c r="G211" s="33" t="str">
        <x:v>Matrix mechanics, uncertainty and foundational quantum theory.</x:v>
      </x:c>
      <x:c r="H211" s="29" t="str">
        <x:v>Physics roster</x:v>
      </x:c>
    </x:row>
    <x:row r="212" ht="36" customHeight="1">
      <x:c r="A212" s="29" t="str">
        <x:v>Physics</x:v>
      </x:c>
      <x:c r="B212" s="33" t="str">
        <x:v>Erwin Schrödinger</x:v>
      </x:c>
      <x:c r="C212" s="35" t="n">
        <x:v>1933</x:v>
      </x:c>
      <x:c r="D212" s="36" t="str">
        <x:v>1933</x:v>
      </x:c>
      <x:c r="E212" s="36" t="str">
        <x:v>Person</x:v>
      </x:c>
      <x:c r="F212" s="37" t="str">
        <x:v>Clear</x:v>
      </x:c>
      <x:c r="G212" s="33" t="str">
        <x:v>Wave mechanics and broad conceptual physics.</x:v>
      </x:c>
      <x:c r="H212" s="29" t="str">
        <x:v>Physics roster</x:v>
      </x:c>
    </x:row>
    <x:row r="213" ht="36" customHeight="1">
      <x:c r="A213" s="29" t="str">
        <x:v>Physics</x:v>
      </x:c>
      <x:c r="B213" s="33" t="str">
        <x:v>Paul Dirac</x:v>
      </x:c>
      <x:c r="C213" s="35" t="n">
        <x:v>1933</x:v>
      </x:c>
      <x:c r="D213" s="36" t="str">
        <x:v>1933</x:v>
      </x:c>
      <x:c r="E213" s="36" t="str">
        <x:v>Person</x:v>
      </x:c>
      <x:c r="F213" s="37" t="str">
        <x:v>Clear</x:v>
      </x:c>
      <x:c r="G213" s="33" t="str">
        <x:v>Relativistic quantum mechanics and exceptionally original mathematical physics.</x:v>
      </x:c>
      <x:c r="H213" s="29" t="str">
        <x:v>Physics roster</x:v>
      </x:c>
    </x:row>
    <x:row r="214" ht="36" customHeight="1">
      <x:c r="A214" s="29" t="str">
        <x:v>Physics</x:v>
      </x:c>
      <x:c r="B214" s="33" t="str">
        <x:v>James Chadwick</x:v>
      </x:c>
      <x:c r="C214" s="35" t="n">
        <x:v>1935</x:v>
      </x:c>
      <x:c r="D214" s="36" t="str">
        <x:v>1935</x:v>
      </x:c>
      <x:c r="E214" s="36" t="str">
        <x:v>Person</x:v>
      </x:c>
      <x:c r="F214" s="37" t="str">
        <x:v>Not established here</x:v>
      </x:c>
      <x:c r="G214" s="33" t="str">
        <x:v>Not included in this affirmative shortlist. This is not a finding of non-genius.</x:v>
      </x:c>
      <x:c r="H214" s="29" t="str">
        <x:v>Physics roster</x:v>
      </x:c>
    </x:row>
    <x:row r="215" ht="36" customHeight="1">
      <x:c r="A215" s="29" t="str">
        <x:v>Physics</x:v>
      </x:c>
      <x:c r="B215" s="33" t="str">
        <x:v>Carl David Anderson</x:v>
      </x:c>
      <x:c r="C215" s="35" t="n">
        <x:v>1936</x:v>
      </x:c>
      <x:c r="D215" s="36" t="str">
        <x:v>1936</x:v>
      </x:c>
      <x:c r="E215" s="36" t="str">
        <x:v>Person</x:v>
      </x:c>
      <x:c r="F215" s="37" t="str">
        <x:v>Not established here</x:v>
      </x:c>
      <x:c r="G215" s="33" t="str">
        <x:v>Not included in this affirmative shortlist. This is not a finding of non-genius.</x:v>
      </x:c>
      <x:c r="H215" s="29" t="str">
        <x:v>Physics roster</x:v>
      </x:c>
    </x:row>
    <x:row r="216" ht="36" customHeight="1">
      <x:c r="A216" s="29" t="str">
        <x:v>Physics</x:v>
      </x:c>
      <x:c r="B216" s="33" t="str">
        <x:v>Victor Hess</x:v>
      </x:c>
      <x:c r="C216" s="35" t="n">
        <x:v>1936</x:v>
      </x:c>
      <x:c r="D216" s="36" t="str">
        <x:v>1936</x:v>
      </x:c>
      <x:c r="E216" s="36" t="str">
        <x:v>Person</x:v>
      </x:c>
      <x:c r="F216" s="37" t="str">
        <x:v>Not established here</x:v>
      </x:c>
      <x:c r="G216" s="33" t="str">
        <x:v>Not included in this affirmative shortlist. This is not a finding of non-genius.</x:v>
      </x:c>
      <x:c r="H216" s="29" t="str">
        <x:v>Physics roster</x:v>
      </x:c>
    </x:row>
    <x:row r="217" ht="36" customHeight="1">
      <x:c r="A217" s="29" t="str">
        <x:v>Physics</x:v>
      </x:c>
      <x:c r="B217" s="33" t="str">
        <x:v>Clinton Davisson</x:v>
      </x:c>
      <x:c r="C217" s="35" t="n">
        <x:v>1937</x:v>
      </x:c>
      <x:c r="D217" s="36" t="str">
        <x:v>1937</x:v>
      </x:c>
      <x:c r="E217" s="36" t="str">
        <x:v>Person</x:v>
      </x:c>
      <x:c r="F217" s="37" t="str">
        <x:v>Not established here</x:v>
      </x:c>
      <x:c r="G217" s="33" t="str">
        <x:v>Not included in this affirmative shortlist. This is not a finding of non-genius.</x:v>
      </x:c>
      <x:c r="H217" s="29" t="str">
        <x:v>Physics roster</x:v>
      </x:c>
    </x:row>
    <x:row r="218" ht="36" customHeight="1">
      <x:c r="A218" s="29" t="str">
        <x:v>Physics</x:v>
      </x:c>
      <x:c r="B218" s="33" t="str">
        <x:v>George Paget Thomson</x:v>
      </x:c>
      <x:c r="C218" s="35" t="n">
        <x:v>1937</x:v>
      </x:c>
      <x:c r="D218" s="36" t="str">
        <x:v>1937</x:v>
      </x:c>
      <x:c r="E218" s="36" t="str">
        <x:v>Person</x:v>
      </x:c>
      <x:c r="F218" s="37" t="str">
        <x:v>Not established here</x:v>
      </x:c>
      <x:c r="G218" s="33" t="str">
        <x:v>Not included in this affirmative shortlist. This is not a finding of non-genius.</x:v>
      </x:c>
      <x:c r="H218" s="29" t="str">
        <x:v>Physics roster</x:v>
      </x:c>
    </x:row>
    <x:row r="219" ht="36" customHeight="1">
      <x:c r="A219" s="29" t="str">
        <x:v>Physics</x:v>
      </x:c>
      <x:c r="B219" s="33" t="str">
        <x:v>Enrico Fermi</x:v>
      </x:c>
      <x:c r="C219" s="35" t="n">
        <x:v>1938</x:v>
      </x:c>
      <x:c r="D219" s="36" t="str">
        <x:v>1938</x:v>
      </x:c>
      <x:c r="E219" s="36" t="str">
        <x:v>Person</x:v>
      </x:c>
      <x:c r="F219" s="37" t="str">
        <x:v>Clear</x:v>
      </x:c>
      <x:c r="G219" s="33" t="str">
        <x:v>Rare originality across theoretical and experimental physics.</x:v>
      </x:c>
      <x:c r="H219" s="29" t="str">
        <x:v>Physics roster</x:v>
      </x:c>
    </x:row>
    <x:row r="220" ht="36" customHeight="1">
      <x:c r="A220" s="29" t="str">
        <x:v>Physics</x:v>
      </x:c>
      <x:c r="B220" s="33" t="str">
        <x:v>Ernest Lawrence</x:v>
      </x:c>
      <x:c r="C220" s="35" t="n">
        <x:v>1939</x:v>
      </x:c>
      <x:c r="D220" s="36" t="str">
        <x:v>1939</x:v>
      </x:c>
      <x:c r="E220" s="36" t="str">
        <x:v>Person</x:v>
      </x:c>
      <x:c r="F220" s="37" t="str">
        <x:v>Borderline</x:v>
      </x:c>
      <x:c r="G220" s="33" t="str">
        <x:v>Strong case for exceptional originality, but I am less certain of equivalence to the user's very high benchmark.</x:v>
      </x:c>
      <x:c r="H220" s="29" t="str">
        <x:v>Physics roster</x:v>
      </x:c>
    </x:row>
    <x:row r="221" ht="36" customHeight="1">
      <x:c r="A221" s="29" t="str">
        <x:v>Physics</x:v>
      </x:c>
      <x:c r="B221" s="33" t="str">
        <x:v>Otto Stern</x:v>
      </x:c>
      <x:c r="C221" s="35" t="n">
        <x:v>1943</x:v>
      </x:c>
      <x:c r="D221" s="36" t="str">
        <x:v>1943</x:v>
      </x:c>
      <x:c r="E221" s="36" t="str">
        <x:v>Person</x:v>
      </x:c>
      <x:c r="F221" s="37" t="str">
        <x:v>Not established here</x:v>
      </x:c>
      <x:c r="G221" s="33" t="str">
        <x:v>Not included in this affirmative shortlist. This is not a finding of non-genius.</x:v>
      </x:c>
      <x:c r="H221" s="29" t="str">
        <x:v>Physics roster</x:v>
      </x:c>
    </x:row>
    <x:row r="222" ht="36" customHeight="1">
      <x:c r="A222" s="29" t="str">
        <x:v>Physics</x:v>
      </x:c>
      <x:c r="B222" s="33" t="str">
        <x:v>Isidor Rabi</x:v>
      </x:c>
      <x:c r="C222" s="35" t="n">
        <x:v>1944</x:v>
      </x:c>
      <x:c r="D222" s="36" t="str">
        <x:v>1944</x:v>
      </x:c>
      <x:c r="E222" s="36" t="str">
        <x:v>Person</x:v>
      </x:c>
      <x:c r="F222" s="37" t="str">
        <x:v>Borderline</x:v>
      </x:c>
      <x:c r="G222" s="33" t="str">
        <x:v>Strong case for exceptional originality, but I am less certain of equivalence to the user's very high benchmark.</x:v>
      </x:c>
      <x:c r="H222" s="29" t="str">
        <x:v>Physics roster</x:v>
      </x:c>
    </x:row>
    <x:row r="223" ht="36" customHeight="1">
      <x:c r="A223" s="29" t="str">
        <x:v>Physics</x:v>
      </x:c>
      <x:c r="B223" s="33" t="str">
        <x:v>Wolfgang Pauli</x:v>
      </x:c>
      <x:c r="C223" s="35" t="n">
        <x:v>1945</x:v>
      </x:c>
      <x:c r="D223" s="36" t="str">
        <x:v>1945</x:v>
      </x:c>
      <x:c r="E223" s="36" t="str">
        <x:v>Person</x:v>
      </x:c>
      <x:c r="F223" s="37" t="str">
        <x:v>Clear</x:v>
      </x:c>
      <x:c r="G223" s="33" t="str">
        <x:v>Exclusion principle, neutrino hypothesis and foundational quantum theory.</x:v>
      </x:c>
      <x:c r="H223" s="29" t="str">
        <x:v>Physics roster</x:v>
      </x:c>
    </x:row>
    <x:row r="224" ht="36" customHeight="1">
      <x:c r="A224" s="29" t="str">
        <x:v>Physics</x:v>
      </x:c>
      <x:c r="B224" s="33" t="str">
        <x:v>Percy Williams Bridgman</x:v>
      </x:c>
      <x:c r="C224" s="35" t="n">
        <x:v>1946</x:v>
      </x:c>
      <x:c r="D224" s="36" t="str">
        <x:v>1946</x:v>
      </x:c>
      <x:c r="E224" s="36" t="str">
        <x:v>Person</x:v>
      </x:c>
      <x:c r="F224" s="37" t="str">
        <x:v>Not established here</x:v>
      </x:c>
      <x:c r="G224" s="33" t="str">
        <x:v>Not included in this affirmative shortlist. This is not a finding of non-genius.</x:v>
      </x:c>
      <x:c r="H224" s="29" t="str">
        <x:v>Physics roster</x:v>
      </x:c>
    </x:row>
    <x:row r="225" ht="36" customHeight="1">
      <x:c r="A225" s="29" t="str">
        <x:v>Physics</x:v>
      </x:c>
      <x:c r="B225" s="33" t="str">
        <x:v>Edward Victor Appleton</x:v>
      </x:c>
      <x:c r="C225" s="35" t="n">
        <x:v>1947</x:v>
      </x:c>
      <x:c r="D225" s="36" t="str">
        <x:v>1947</x:v>
      </x:c>
      <x:c r="E225" s="36" t="str">
        <x:v>Person</x:v>
      </x:c>
      <x:c r="F225" s="37" t="str">
        <x:v>Not established here</x:v>
      </x:c>
      <x:c r="G225" s="33" t="str">
        <x:v>Not included in this affirmative shortlist. This is not a finding of non-genius.</x:v>
      </x:c>
      <x:c r="H225" s="29" t="str">
        <x:v>Physics roster</x:v>
      </x:c>
    </x:row>
    <x:row r="226" ht="36" customHeight="1">
      <x:c r="A226" s="29" t="str">
        <x:v>Physics</x:v>
      </x:c>
      <x:c r="B226" s="33" t="str">
        <x:v>Patrick Blackett</x:v>
      </x:c>
      <x:c r="C226" s="35" t="n">
        <x:v>1948</x:v>
      </x:c>
      <x:c r="D226" s="36" t="str">
        <x:v>1948</x:v>
      </x:c>
      <x:c r="E226" s="36" t="str">
        <x:v>Person</x:v>
      </x:c>
      <x:c r="F226" s="37" t="str">
        <x:v>Not established here</x:v>
      </x:c>
      <x:c r="G226" s="33" t="str">
        <x:v>Not included in this affirmative shortlist. This is not a finding of non-genius.</x:v>
      </x:c>
      <x:c r="H226" s="29" t="str">
        <x:v>Physics roster</x:v>
      </x:c>
    </x:row>
    <x:row r="227" ht="36" customHeight="1">
      <x:c r="A227" s="29" t="str">
        <x:v>Physics</x:v>
      </x:c>
      <x:c r="B227" s="33" t="str">
        <x:v>Hideki Yukawa</x:v>
      </x:c>
      <x:c r="C227" s="35" t="n">
        <x:v>1949</x:v>
      </x:c>
      <x:c r="D227" s="36" t="str">
        <x:v>1949</x:v>
      </x:c>
      <x:c r="E227" s="36" t="str">
        <x:v>Person</x:v>
      </x:c>
      <x:c r="F227" s="37" t="str">
        <x:v>Borderline</x:v>
      </x:c>
      <x:c r="G227" s="33" t="str">
        <x:v>Strong case for exceptional originality, but I am less certain of equivalence to the user's very high benchmark.</x:v>
      </x:c>
      <x:c r="H227" s="29" t="str">
        <x:v>Physics roster</x:v>
      </x:c>
    </x:row>
    <x:row r="228" ht="36" customHeight="1">
      <x:c r="A228" s="29" t="str">
        <x:v>Physics</x:v>
      </x:c>
      <x:c r="B228" s="33" t="str">
        <x:v>Cecil Powell</x:v>
      </x:c>
      <x:c r="C228" s="35" t="n">
        <x:v>1950</x:v>
      </x:c>
      <x:c r="D228" s="36" t="str">
        <x:v>1950</x:v>
      </x:c>
      <x:c r="E228" s="36" t="str">
        <x:v>Person</x:v>
      </x:c>
      <x:c r="F228" s="37" t="str">
        <x:v>Not established here</x:v>
      </x:c>
      <x:c r="G228" s="33" t="str">
        <x:v>Not included in this affirmative shortlist. This is not a finding of non-genius.</x:v>
      </x:c>
      <x:c r="H228" s="29" t="str">
        <x:v>Physics roster</x:v>
      </x:c>
    </x:row>
    <x:row r="229" ht="36" customHeight="1">
      <x:c r="A229" s="29" t="str">
        <x:v>Physics</x:v>
      </x:c>
      <x:c r="B229" s="33" t="str">
        <x:v>Ernest Walton</x:v>
      </x:c>
      <x:c r="C229" s="35" t="n">
        <x:v>1951</x:v>
      </x:c>
      <x:c r="D229" s="36" t="str">
        <x:v>1951</x:v>
      </x:c>
      <x:c r="E229" s="36" t="str">
        <x:v>Person</x:v>
      </x:c>
      <x:c r="F229" s="37" t="str">
        <x:v>Not established here</x:v>
      </x:c>
      <x:c r="G229" s="33" t="str">
        <x:v>Not included in this affirmative shortlist. This is not a finding of non-genius.</x:v>
      </x:c>
      <x:c r="H229" s="29" t="str">
        <x:v>Physics roster</x:v>
      </x:c>
    </x:row>
    <x:row r="230" ht="36" customHeight="1">
      <x:c r="A230" s="29" t="str">
        <x:v>Physics</x:v>
      </x:c>
      <x:c r="B230" s="33" t="str">
        <x:v>John Cockcroft</x:v>
      </x:c>
      <x:c r="C230" s="35" t="n">
        <x:v>1951</x:v>
      </x:c>
      <x:c r="D230" s="36" t="str">
        <x:v>1951</x:v>
      </x:c>
      <x:c r="E230" s="36" t="str">
        <x:v>Person</x:v>
      </x:c>
      <x:c r="F230" s="37" t="str">
        <x:v>Not established here</x:v>
      </x:c>
      <x:c r="G230" s="33" t="str">
        <x:v>Not included in this affirmative shortlist. This is not a finding of non-genius.</x:v>
      </x:c>
      <x:c r="H230" s="29" t="str">
        <x:v>Physics roster</x:v>
      </x:c>
    </x:row>
    <x:row r="231" ht="36" customHeight="1">
      <x:c r="A231" s="29" t="str">
        <x:v>Physics</x:v>
      </x:c>
      <x:c r="B231" s="33" t="str">
        <x:v>Edward Mills Purcell</x:v>
      </x:c>
      <x:c r="C231" s="35" t="n">
        <x:v>1952</x:v>
      </x:c>
      <x:c r="D231" s="36" t="str">
        <x:v>1952</x:v>
      </x:c>
      <x:c r="E231" s="36" t="str">
        <x:v>Person</x:v>
      </x:c>
      <x:c r="F231" s="37" t="str">
        <x:v>Borderline</x:v>
      </x:c>
      <x:c r="G231" s="33" t="str">
        <x:v>Strong case for exceptional originality, but I am less certain of equivalence to the user's very high benchmark.</x:v>
      </x:c>
      <x:c r="H231" s="29" t="str">
        <x:v>Physics roster</x:v>
      </x:c>
    </x:row>
    <x:row r="232" ht="36" customHeight="1">
      <x:c r="A232" s="29" t="str">
        <x:v>Physics</x:v>
      </x:c>
      <x:c r="B232" s="33" t="str">
        <x:v>Felix Bloch</x:v>
      </x:c>
      <x:c r="C232" s="35" t="n">
        <x:v>1952</x:v>
      </x:c>
      <x:c r="D232" s="36" t="str">
        <x:v>1952</x:v>
      </x:c>
      <x:c r="E232" s="36" t="str">
        <x:v>Person</x:v>
      </x:c>
      <x:c r="F232" s="37" t="str">
        <x:v>Borderline</x:v>
      </x:c>
      <x:c r="G232" s="33" t="str">
        <x:v>Strong case for exceptional originality, but I am less certain of equivalence to the user's very high benchmark.</x:v>
      </x:c>
      <x:c r="H232" s="29" t="str">
        <x:v>Physics roster</x:v>
      </x:c>
    </x:row>
    <x:row r="233" ht="36" customHeight="1">
      <x:c r="A233" s="29" t="str">
        <x:v>Physics</x:v>
      </x:c>
      <x:c r="B233" s="33" t="str">
        <x:v>Frits Zernike</x:v>
      </x:c>
      <x:c r="C233" s="35" t="n">
        <x:v>1953</x:v>
      </x:c>
      <x:c r="D233" s="36" t="str">
        <x:v>1953</x:v>
      </x:c>
      <x:c r="E233" s="36" t="str">
        <x:v>Person</x:v>
      </x:c>
      <x:c r="F233" s="37" t="str">
        <x:v>Not established here</x:v>
      </x:c>
      <x:c r="G233" s="33" t="str">
        <x:v>Not included in this affirmative shortlist. This is not a finding of non-genius.</x:v>
      </x:c>
      <x:c r="H233" s="29" t="str">
        <x:v>Physics roster</x:v>
      </x:c>
    </x:row>
    <x:row r="234" ht="36" customHeight="1">
      <x:c r="A234" s="29" t="str">
        <x:v>Physics</x:v>
      </x:c>
      <x:c r="B234" s="33" t="str">
        <x:v>Max Born</x:v>
      </x:c>
      <x:c r="C234" s="35" t="n">
        <x:v>1954</x:v>
      </x:c>
      <x:c r="D234" s="36" t="str">
        <x:v>1954</x:v>
      </x:c>
      <x:c r="E234" s="36" t="str">
        <x:v>Person</x:v>
      </x:c>
      <x:c r="F234" s="37" t="str">
        <x:v>Clear</x:v>
      </x:c>
      <x:c r="G234" s="33" t="str">
        <x:v>Statistical interpretation of quantum mechanics and foundational theory.</x:v>
      </x:c>
      <x:c r="H234" s="29" t="str">
        <x:v>Physics roster</x:v>
      </x:c>
    </x:row>
    <x:row r="235" ht="36" customHeight="1">
      <x:c r="A235" s="29" t="str">
        <x:v>Physics</x:v>
      </x:c>
      <x:c r="B235" s="33" t="str">
        <x:v>Walther Bothe</x:v>
      </x:c>
      <x:c r="C235" s="35" t="n">
        <x:v>1954</x:v>
      </x:c>
      <x:c r="D235" s="36" t="str">
        <x:v>1954</x:v>
      </x:c>
      <x:c r="E235" s="36" t="str">
        <x:v>Person</x:v>
      </x:c>
      <x:c r="F235" s="37" t="str">
        <x:v>Not established here</x:v>
      </x:c>
      <x:c r="G235" s="33" t="str">
        <x:v>Not included in this affirmative shortlist. This is not a finding of non-genius.</x:v>
      </x:c>
      <x:c r="H235" s="29" t="str">
        <x:v>Physics roster</x:v>
      </x:c>
    </x:row>
    <x:row r="236" ht="36" customHeight="1">
      <x:c r="A236" s="29" t="str">
        <x:v>Physics</x:v>
      </x:c>
      <x:c r="B236" s="33" t="str">
        <x:v>Polykarp Kusch</x:v>
      </x:c>
      <x:c r="C236" s="35" t="n">
        <x:v>1955</x:v>
      </x:c>
      <x:c r="D236" s="36" t="str">
        <x:v>1955</x:v>
      </x:c>
      <x:c r="E236" s="36" t="str">
        <x:v>Person</x:v>
      </x:c>
      <x:c r="F236" s="37" t="str">
        <x:v>Not established here</x:v>
      </x:c>
      <x:c r="G236" s="33" t="str">
        <x:v>Not included in this affirmative shortlist. This is not a finding of non-genius.</x:v>
      </x:c>
      <x:c r="H236" s="29" t="str">
        <x:v>Physics roster</x:v>
      </x:c>
    </x:row>
    <x:row r="237" ht="36" customHeight="1">
      <x:c r="A237" s="29" t="str">
        <x:v>Physics</x:v>
      </x:c>
      <x:c r="B237" s="33" t="str">
        <x:v>Willis Lamb</x:v>
      </x:c>
      <x:c r="C237" s="35" t="n">
        <x:v>1955</x:v>
      </x:c>
      <x:c r="D237" s="36" t="str">
        <x:v>1955</x:v>
      </x:c>
      <x:c r="E237" s="36" t="str">
        <x:v>Person</x:v>
      </x:c>
      <x:c r="F237" s="37" t="str">
        <x:v>Borderline</x:v>
      </x:c>
      <x:c r="G237" s="33" t="str">
        <x:v>Strong case for exceptional originality, but I am less certain of equivalence to the user's very high benchmark.</x:v>
      </x:c>
      <x:c r="H237" s="29" t="str">
        <x:v>Physics roster</x:v>
      </x:c>
    </x:row>
    <x:row r="238" ht="36" customHeight="1">
      <x:c r="A238" s="29" t="str">
        <x:v>Physics</x:v>
      </x:c>
      <x:c r="B238" s="33" t="str">
        <x:v>John Bardeen</x:v>
      </x:c>
      <x:c r="C238" s="35" t="n">
        <x:v>1956</x:v>
      </x:c>
      <x:c r="D238" s="36" t="str">
        <x:v>1956, 1972</x:v>
      </x:c>
      <x:c r="E238" s="36" t="str">
        <x:v>Person</x:v>
      </x:c>
      <x:c r="F238" s="37" t="str">
        <x:v>Clear</x:v>
      </x:c>
      <x:c r="G238" s="33" t="str">
        <x:v>Transistor physics and superconductivity theory.</x:v>
      </x:c>
      <x:c r="H238" s="29" t="str">
        <x:v>Physics roster</x:v>
      </x:c>
    </x:row>
    <x:row r="239" ht="36" customHeight="1">
      <x:c r="A239" s="29" t="str">
        <x:v>Physics</x:v>
      </x:c>
      <x:c r="B239" s="33" t="str">
        <x:v>Walter Brattain</x:v>
      </x:c>
      <x:c r="C239" s="35" t="n">
        <x:v>1956</x:v>
      </x:c>
      <x:c r="D239" s="36" t="str">
        <x:v>1956</x:v>
      </x:c>
      <x:c r="E239" s="36" t="str">
        <x:v>Person</x:v>
      </x:c>
      <x:c r="F239" s="37" t="str">
        <x:v>Not established here</x:v>
      </x:c>
      <x:c r="G239" s="33" t="str">
        <x:v>Not included in this affirmative shortlist. This is not a finding of non-genius.</x:v>
      </x:c>
      <x:c r="H239" s="29" t="str">
        <x:v>Physics roster</x:v>
      </x:c>
    </x:row>
    <x:row r="240" ht="36" customHeight="1">
      <x:c r="A240" s="29" t="str">
        <x:v>Physics</x:v>
      </x:c>
      <x:c r="B240" s="33" t="str">
        <x:v>William Shockley</x:v>
      </x:c>
      <x:c r="C240" s="35" t="n">
        <x:v>1956</x:v>
      </x:c>
      <x:c r="D240" s="36" t="str">
        <x:v>1956</x:v>
      </x:c>
      <x:c r="E240" s="36" t="str">
        <x:v>Person</x:v>
      </x:c>
      <x:c r="F240" s="37" t="str">
        <x:v>Borderline</x:v>
      </x:c>
      <x:c r="G240" s="33" t="str">
        <x:v>Strong case for exceptional originality, but I am less certain of equivalence to the user's very high benchmark.</x:v>
      </x:c>
      <x:c r="H240" s="29" t="str">
        <x:v>Physics roster</x:v>
      </x:c>
    </x:row>
    <x:row r="241" ht="36" customHeight="1">
      <x:c r="A241" s="29" t="str">
        <x:v>Physics</x:v>
      </x:c>
      <x:c r="B241" s="33" t="str">
        <x:v>Tsung-Dao Lee</x:v>
      </x:c>
      <x:c r="C241" s="35" t="n">
        <x:v>1957</x:v>
      </x:c>
      <x:c r="D241" s="36" t="str">
        <x:v>1957</x:v>
      </x:c>
      <x:c r="E241" s="36" t="str">
        <x:v>Person</x:v>
      </x:c>
      <x:c r="F241" s="37" t="str">
        <x:v>Borderline</x:v>
      </x:c>
      <x:c r="G241" s="33" t="str">
        <x:v>Strong case for exceptional originality, but I am less certain of equivalence to the user's very high benchmark.</x:v>
      </x:c>
      <x:c r="H241" s="29" t="str">
        <x:v>Physics roster</x:v>
      </x:c>
    </x:row>
    <x:row r="242" ht="36" customHeight="1">
      <x:c r="A242" s="29" t="str">
        <x:v>Physics</x:v>
      </x:c>
      <x:c r="B242" s="33" t="str">
        <x:v>Yang Chen-Ning</x:v>
      </x:c>
      <x:c r="C242" s="35" t="n">
        <x:v>1957</x:v>
      </x:c>
      <x:c r="D242" s="36" t="str">
        <x:v>1957</x:v>
      </x:c>
      <x:c r="E242" s="36" t="str">
        <x:v>Person</x:v>
      </x:c>
      <x:c r="F242" s="37" t="str">
        <x:v>Clear</x:v>
      </x:c>
      <x:c r="G242" s="33" t="str">
        <x:v>Non-Abelian gauge theory and parity violation.</x:v>
      </x:c>
      <x:c r="H242" s="29" t="str">
        <x:v>Physics roster</x:v>
      </x:c>
    </x:row>
    <x:row r="243" ht="36" customHeight="1">
      <x:c r="A243" s="29" t="str">
        <x:v>Physics</x:v>
      </x:c>
      <x:c r="B243" s="33" t="str">
        <x:v>Igor Tamm</x:v>
      </x:c>
      <x:c r="C243" s="35" t="n">
        <x:v>1958</x:v>
      </x:c>
      <x:c r="D243" s="36" t="str">
        <x:v>1958</x:v>
      </x:c>
      <x:c r="E243" s="36" t="str">
        <x:v>Person</x:v>
      </x:c>
      <x:c r="F243" s="37" t="str">
        <x:v>Not established here</x:v>
      </x:c>
      <x:c r="G243" s="33" t="str">
        <x:v>Not included in this affirmative shortlist. This is not a finding of non-genius.</x:v>
      </x:c>
      <x:c r="H243" s="29" t="str">
        <x:v>Physics roster</x:v>
      </x:c>
    </x:row>
    <x:row r="244" ht="36" customHeight="1">
      <x:c r="A244" s="29" t="str">
        <x:v>Physics</x:v>
      </x:c>
      <x:c r="B244" s="33" t="str">
        <x:v>Ilya Frank</x:v>
      </x:c>
      <x:c r="C244" s="35" t="n">
        <x:v>1958</x:v>
      </x:c>
      <x:c r="D244" s="36" t="str">
        <x:v>1958</x:v>
      </x:c>
      <x:c r="E244" s="36" t="str">
        <x:v>Person</x:v>
      </x:c>
      <x:c r="F244" s="37" t="str">
        <x:v>Not established here</x:v>
      </x:c>
      <x:c r="G244" s="33" t="str">
        <x:v>Not included in this affirmative shortlist. This is not a finding of non-genius.</x:v>
      </x:c>
      <x:c r="H244" s="29" t="str">
        <x:v>Physics roster</x:v>
      </x:c>
    </x:row>
    <x:row r="245" ht="36" customHeight="1">
      <x:c r="A245" s="29" t="str">
        <x:v>Physics</x:v>
      </x:c>
      <x:c r="B245" s="33" t="str">
        <x:v>Pavel Cherenkov</x:v>
      </x:c>
      <x:c r="C245" s="35" t="n">
        <x:v>1958</x:v>
      </x:c>
      <x:c r="D245" s="36" t="str">
        <x:v>1958</x:v>
      </x:c>
      <x:c r="E245" s="36" t="str">
        <x:v>Person</x:v>
      </x:c>
      <x:c r="F245" s="37" t="str">
        <x:v>Not established here</x:v>
      </x:c>
      <x:c r="G245" s="33" t="str">
        <x:v>Not included in this affirmative shortlist. This is not a finding of non-genius.</x:v>
      </x:c>
      <x:c r="H245" s="29" t="str">
        <x:v>Physics roster</x:v>
      </x:c>
    </x:row>
    <x:row r="246" ht="36" customHeight="1">
      <x:c r="A246" s="29" t="str">
        <x:v>Physics</x:v>
      </x:c>
      <x:c r="B246" s="33" t="str">
        <x:v>Emilio Segrè</x:v>
      </x:c>
      <x:c r="C246" s="35" t="n">
        <x:v>1959</x:v>
      </x:c>
      <x:c r="D246" s="36" t="str">
        <x:v>1959</x:v>
      </x:c>
      <x:c r="E246" s="36" t="str">
        <x:v>Person</x:v>
      </x:c>
      <x:c r="F246" s="37" t="str">
        <x:v>Not established here</x:v>
      </x:c>
      <x:c r="G246" s="33" t="str">
        <x:v>Not included in this affirmative shortlist. This is not a finding of non-genius.</x:v>
      </x:c>
      <x:c r="H246" s="29" t="str">
        <x:v>Physics roster</x:v>
      </x:c>
    </x:row>
    <x:row r="247" ht="36" customHeight="1">
      <x:c r="A247" s="29" t="str">
        <x:v>Physics</x:v>
      </x:c>
      <x:c r="B247" s="33" t="str">
        <x:v>Owen Chamberlain</x:v>
      </x:c>
      <x:c r="C247" s="35" t="n">
        <x:v>1959</x:v>
      </x:c>
      <x:c r="D247" s="36" t="str">
        <x:v>1959</x:v>
      </x:c>
      <x:c r="E247" s="36" t="str">
        <x:v>Person</x:v>
      </x:c>
      <x:c r="F247" s="37" t="str">
        <x:v>Not established here</x:v>
      </x:c>
      <x:c r="G247" s="33" t="str">
        <x:v>Not included in this affirmative shortlist. This is not a finding of non-genius.</x:v>
      </x:c>
      <x:c r="H247" s="29" t="str">
        <x:v>Physics roster</x:v>
      </x:c>
    </x:row>
    <x:row r="248" ht="36" customHeight="1">
      <x:c r="A248" s="29" t="str">
        <x:v>Physics</x:v>
      </x:c>
      <x:c r="B248" s="33" t="str">
        <x:v>Donald Glaser</x:v>
      </x:c>
      <x:c r="C248" s="35" t="n">
        <x:v>1960</x:v>
      </x:c>
      <x:c r="D248" s="36" t="str">
        <x:v>1960</x:v>
      </x:c>
      <x:c r="E248" s="36" t="str">
        <x:v>Person</x:v>
      </x:c>
      <x:c r="F248" s="37" t="str">
        <x:v>Not established here</x:v>
      </x:c>
      <x:c r="G248" s="33" t="str">
        <x:v>Not included in this affirmative shortlist. This is not a finding of non-genius.</x:v>
      </x:c>
      <x:c r="H248" s="29" t="str">
        <x:v>Physics roster</x:v>
      </x:c>
    </x:row>
    <x:row r="249" ht="36" customHeight="1">
      <x:c r="A249" s="29" t="str">
        <x:v>Physics</x:v>
      </x:c>
      <x:c r="B249" s="33" t="str">
        <x:v>Robert Hofstadter</x:v>
      </x:c>
      <x:c r="C249" s="35" t="n">
        <x:v>1961</x:v>
      </x:c>
      <x:c r="D249" s="36" t="str">
        <x:v>1961</x:v>
      </x:c>
      <x:c r="E249" s="36" t="str">
        <x:v>Person</x:v>
      </x:c>
      <x:c r="F249" s="37" t="str">
        <x:v>Not established here</x:v>
      </x:c>
      <x:c r="G249" s="33" t="str">
        <x:v>Not included in this affirmative shortlist. This is not a finding of non-genius.</x:v>
      </x:c>
      <x:c r="H249" s="29" t="str">
        <x:v>Physics roster</x:v>
      </x:c>
    </x:row>
    <x:row r="250" ht="36" customHeight="1">
      <x:c r="A250" s="29" t="str">
        <x:v>Physics</x:v>
      </x:c>
      <x:c r="B250" s="33" t="str">
        <x:v>Rudolf Mössbauer</x:v>
      </x:c>
      <x:c r="C250" s="35" t="n">
        <x:v>1961</x:v>
      </x:c>
      <x:c r="D250" s="36" t="str">
        <x:v>1961</x:v>
      </x:c>
      <x:c r="E250" s="36" t="str">
        <x:v>Person</x:v>
      </x:c>
      <x:c r="F250" s="37" t="str">
        <x:v>Not established here</x:v>
      </x:c>
      <x:c r="G250" s="33" t="str">
        <x:v>Not included in this affirmative shortlist. This is not a finding of non-genius.</x:v>
      </x:c>
      <x:c r="H250" s="29" t="str">
        <x:v>Physics roster</x:v>
      </x:c>
    </x:row>
    <x:row r="251" ht="36" customHeight="1">
      <x:c r="A251" s="29" t="str">
        <x:v>Physics</x:v>
      </x:c>
      <x:c r="B251" s="33" t="str">
        <x:v>Lev Landau</x:v>
      </x:c>
      <x:c r="C251" s="35" t="n">
        <x:v>1962</x:v>
      </x:c>
      <x:c r="D251" s="36" t="str">
        <x:v>1962</x:v>
      </x:c>
      <x:c r="E251" s="36" t="str">
        <x:v>Person</x:v>
      </x:c>
      <x:c r="F251" s="37" t="str">
        <x:v>Clear</x:v>
      </x:c>
      <x:c r="G251" s="33" t="str">
        <x:v>Foundational contributions across theoretical physics.</x:v>
      </x:c>
      <x:c r="H251" s="29" t="str">
        <x:v>Physics roster</x:v>
      </x:c>
    </x:row>
    <x:row r="252" ht="36" customHeight="1">
      <x:c r="A252" s="29" t="str">
        <x:v>Physics</x:v>
      </x:c>
      <x:c r="B252" s="33" t="str">
        <x:v>Eugene Wigner</x:v>
      </x:c>
      <x:c r="C252" s="35" t="n">
        <x:v>1963</x:v>
      </x:c>
      <x:c r="D252" s="36" t="str">
        <x:v>1963</x:v>
      </x:c>
      <x:c r="E252" s="36" t="str">
        <x:v>Person</x:v>
      </x:c>
      <x:c r="F252" s="37" t="str">
        <x:v>Clear</x:v>
      </x:c>
      <x:c r="G252" s="33" t="str">
        <x:v>Symmetry methods and foundational mathematical physics.</x:v>
      </x:c>
      <x:c r="H252" s="29" t="str">
        <x:v>Physics roster</x:v>
      </x:c>
    </x:row>
    <x:row r="253" ht="36" customHeight="1">
      <x:c r="A253" s="29" t="str">
        <x:v>Physics</x:v>
      </x:c>
      <x:c r="B253" s="33" t="str">
        <x:v>Hans Jensen</x:v>
      </x:c>
      <x:c r="C253" s="35" t="n">
        <x:v>1963</x:v>
      </x:c>
      <x:c r="D253" s="36" t="str">
        <x:v>1963</x:v>
      </x:c>
      <x:c r="E253" s="36" t="str">
        <x:v>Person</x:v>
      </x:c>
      <x:c r="F253" s="37" t="str">
        <x:v>Not established here</x:v>
      </x:c>
      <x:c r="G253" s="33" t="str">
        <x:v>Not included in this affirmative shortlist. This is not a finding of non-genius.</x:v>
      </x:c>
      <x:c r="H253" s="29" t="str">
        <x:v>Physics roster</x:v>
      </x:c>
    </x:row>
    <x:row r="254" ht="36" customHeight="1">
      <x:c r="A254" s="29" t="str">
        <x:v>Physics</x:v>
      </x:c>
      <x:c r="B254" s="33" t="str">
        <x:v>Maria Goeppert Mayer</x:v>
      </x:c>
      <x:c r="C254" s="35" t="n">
        <x:v>1963</x:v>
      </x:c>
      <x:c r="D254" s="36" t="str">
        <x:v>1963</x:v>
      </x:c>
      <x:c r="E254" s="36" t="str">
        <x:v>Person</x:v>
      </x:c>
      <x:c r="F254" s="37" t="str">
        <x:v>Borderline</x:v>
      </x:c>
      <x:c r="G254" s="33" t="str">
        <x:v>Strong case for exceptional originality, but I am less certain of equivalence to the user's very high benchmark.</x:v>
      </x:c>
      <x:c r="H254" s="29" t="str">
        <x:v>Physics roster</x:v>
      </x:c>
    </x:row>
    <x:row r="255" ht="36" customHeight="1">
      <x:c r="A255" s="29" t="str">
        <x:v>Physics</x:v>
      </x:c>
      <x:c r="B255" s="33" t="str">
        <x:v>Alexander Prokhorov</x:v>
      </x:c>
      <x:c r="C255" s="35" t="n">
        <x:v>1964</x:v>
      </x:c>
      <x:c r="D255" s="36" t="str">
        <x:v>1964</x:v>
      </x:c>
      <x:c r="E255" s="36" t="str">
        <x:v>Person</x:v>
      </x:c>
      <x:c r="F255" s="37" t="str">
        <x:v>Not established here</x:v>
      </x:c>
      <x:c r="G255" s="33" t="str">
        <x:v>Not included in this affirmative shortlist. This is not a finding of non-genius.</x:v>
      </x:c>
      <x:c r="H255" s="29" t="str">
        <x:v>Physics roster</x:v>
      </x:c>
    </x:row>
    <x:row r="256" ht="36" customHeight="1">
      <x:c r="A256" s="29" t="str">
        <x:v>Physics</x:v>
      </x:c>
      <x:c r="B256" s="33" t="str">
        <x:v>Charles Townes</x:v>
      </x:c>
      <x:c r="C256" s="35" t="n">
        <x:v>1964</x:v>
      </x:c>
      <x:c r="D256" s="36" t="str">
        <x:v>1964</x:v>
      </x:c>
      <x:c r="E256" s="36" t="str">
        <x:v>Person</x:v>
      </x:c>
      <x:c r="F256" s="37" t="str">
        <x:v>Borderline</x:v>
      </x:c>
      <x:c r="G256" s="33" t="str">
        <x:v>Strong case for exceptional originality, but I am less certain of equivalence to the user's very high benchmark.</x:v>
      </x:c>
      <x:c r="H256" s="29" t="str">
        <x:v>Physics roster</x:v>
      </x:c>
    </x:row>
    <x:row r="257" ht="36" customHeight="1">
      <x:c r="A257" s="29" t="str">
        <x:v>Physics</x:v>
      </x:c>
      <x:c r="B257" s="33" t="str">
        <x:v>Nikolay Basov</x:v>
      </x:c>
      <x:c r="C257" s="35" t="n">
        <x:v>1964</x:v>
      </x:c>
      <x:c r="D257" s="36" t="str">
        <x:v>1964</x:v>
      </x:c>
      <x:c r="E257" s="36" t="str">
        <x:v>Person</x:v>
      </x:c>
      <x:c r="F257" s="37" t="str">
        <x:v>Not established here</x:v>
      </x:c>
      <x:c r="G257" s="33" t="str">
        <x:v>Not included in this affirmative shortlist. This is not a finding of non-genius.</x:v>
      </x:c>
      <x:c r="H257" s="29" t="str">
        <x:v>Physics roster</x:v>
      </x:c>
    </x:row>
    <x:row r="258" ht="36" customHeight="1">
      <x:c r="A258" s="29" t="str">
        <x:v>Physics</x:v>
      </x:c>
      <x:c r="B258" s="33" t="str">
        <x:v>Julian Schwinger</x:v>
      </x:c>
      <x:c r="C258" s="35" t="n">
        <x:v>1965</x:v>
      </x:c>
      <x:c r="D258" s="36" t="str">
        <x:v>1965</x:v>
      </x:c>
      <x:c r="E258" s="36" t="str">
        <x:v>Person</x:v>
      </x:c>
      <x:c r="F258" s="37" t="str">
        <x:v>Clear</x:v>
      </x:c>
      <x:c r="G258" s="33" t="str">
        <x:v>Quantum electrodynamics and powerful original field-theoretic methods.</x:v>
      </x:c>
      <x:c r="H258" s="29" t="str">
        <x:v>Physics roster</x:v>
      </x:c>
    </x:row>
    <x:row r="259" ht="36" customHeight="1">
      <x:c r="A259" s="29" t="str">
        <x:v>Physics</x:v>
      </x:c>
      <x:c r="B259" s="33" t="str">
        <x:v>Richard Feynman</x:v>
      </x:c>
      <x:c r="C259" s="35" t="n">
        <x:v>1965</x:v>
      </x:c>
      <x:c r="D259" s="36" t="str">
        <x:v>1965</x:v>
      </x:c>
      <x:c r="E259" s="36" t="str">
        <x:v>Person</x:v>
      </x:c>
      <x:c r="F259" s="37" t="str">
        <x:v>Clear</x:v>
      </x:c>
      <x:c r="G259" s="33" t="str">
        <x:v>User-specified calibration case.</x:v>
      </x:c>
      <x:c r="H259" s="29" t="str">
        <x:v>Physics roster</x:v>
      </x:c>
    </x:row>
    <x:row r="260" ht="36" customHeight="1">
      <x:c r="A260" s="29" t="str">
        <x:v>Physics</x:v>
      </x:c>
      <x:c r="B260" s="33" t="str">
        <x:v>Shin'ichirō Tomonaga</x:v>
      </x:c>
      <x:c r="C260" s="35" t="n">
        <x:v>1965</x:v>
      </x:c>
      <x:c r="D260" s="36" t="str">
        <x:v>1965</x:v>
      </x:c>
      <x:c r="E260" s="36" t="str">
        <x:v>Person</x:v>
      </x:c>
      <x:c r="F260" s="37" t="str">
        <x:v>Clear</x:v>
      </x:c>
      <x:c r="G260" s="33" t="str">
        <x:v>Independent foundational reconstruction of quantum electrodynamics.</x:v>
      </x:c>
      <x:c r="H260" s="29" t="str">
        <x:v>Physics roster</x:v>
      </x:c>
    </x:row>
    <x:row r="261" ht="36" customHeight="1">
      <x:c r="A261" s="29" t="str">
        <x:v>Physics</x:v>
      </x:c>
      <x:c r="B261" s="33" t="str">
        <x:v>Alfred Kastler</x:v>
      </x:c>
      <x:c r="C261" s="35" t="n">
        <x:v>1966</x:v>
      </x:c>
      <x:c r="D261" s="36" t="str">
        <x:v>1966</x:v>
      </x:c>
      <x:c r="E261" s="36" t="str">
        <x:v>Person</x:v>
      </x:c>
      <x:c r="F261" s="37" t="str">
        <x:v>Not established here</x:v>
      </x:c>
      <x:c r="G261" s="33" t="str">
        <x:v>Not included in this affirmative shortlist. This is not a finding of non-genius.</x:v>
      </x:c>
      <x:c r="H261" s="29" t="str">
        <x:v>Physics roster</x:v>
      </x:c>
    </x:row>
    <x:row r="262" ht="36" customHeight="1">
      <x:c r="A262" s="29" t="str">
        <x:v>Physics</x:v>
      </x:c>
      <x:c r="B262" s="33" t="str">
        <x:v>Hans Bethe</x:v>
      </x:c>
      <x:c r="C262" s="35" t="n">
        <x:v>1967</x:v>
      </x:c>
      <x:c r="D262" s="36" t="str">
        <x:v>1967</x:v>
      </x:c>
      <x:c r="E262" s="36" t="str">
        <x:v>Person</x:v>
      </x:c>
      <x:c r="F262" s="37" t="str">
        <x:v>Clear</x:v>
      </x:c>
      <x:c r="G262" s="33" t="str">
        <x:v>Nuclear theory and stellar energy production.</x:v>
      </x:c>
      <x:c r="H262" s="29" t="str">
        <x:v>Physics roster</x:v>
      </x:c>
    </x:row>
    <x:row r="263" ht="36" customHeight="1">
      <x:c r="A263" s="29" t="str">
        <x:v>Physics</x:v>
      </x:c>
      <x:c r="B263" s="33" t="str">
        <x:v>Luis Walter Alvarez</x:v>
      </x:c>
      <x:c r="C263" s="35" t="n">
        <x:v>1968</x:v>
      </x:c>
      <x:c r="D263" s="36" t="str">
        <x:v>1968</x:v>
      </x:c>
      <x:c r="E263" s="36" t="str">
        <x:v>Person</x:v>
      </x:c>
      <x:c r="F263" s="37" t="str">
        <x:v>Not established here</x:v>
      </x:c>
      <x:c r="G263" s="33" t="str">
        <x:v>Not included in this affirmative shortlist. This is not a finding of non-genius.</x:v>
      </x:c>
      <x:c r="H263" s="29" t="str">
        <x:v>Physics roster</x:v>
      </x:c>
    </x:row>
    <x:row r="264" ht="36" customHeight="1">
      <x:c r="A264" s="29" t="str">
        <x:v>Physics</x:v>
      </x:c>
      <x:c r="B264" s="33" t="str">
        <x:v>Murray Gell-Mann</x:v>
      </x:c>
      <x:c r="C264" s="35" t="n">
        <x:v>1969</x:v>
      </x:c>
      <x:c r="D264" s="36" t="str">
        <x:v>1969</x:v>
      </x:c>
      <x:c r="E264" s="36" t="str">
        <x:v>Person</x:v>
      </x:c>
      <x:c r="F264" s="37" t="str">
        <x:v>Clear</x:v>
      </x:c>
      <x:c r="G264" s="33" t="str">
        <x:v>Quarks and organizing principles of particle physics.</x:v>
      </x:c>
      <x:c r="H264" s="29" t="str">
        <x:v>Physics roster</x:v>
      </x:c>
    </x:row>
    <x:row r="265" ht="36" customHeight="1">
      <x:c r="A265" s="29" t="str">
        <x:v>Physics</x:v>
      </x:c>
      <x:c r="B265" s="33" t="str">
        <x:v>Hannes Alfvén</x:v>
      </x:c>
      <x:c r="C265" s="35" t="n">
        <x:v>1970</x:v>
      </x:c>
      <x:c r="D265" s="36" t="str">
        <x:v>1970</x:v>
      </x:c>
      <x:c r="E265" s="36" t="str">
        <x:v>Person</x:v>
      </x:c>
      <x:c r="F265" s="37" t="str">
        <x:v>Borderline</x:v>
      </x:c>
      <x:c r="G265" s="33" t="str">
        <x:v>Strong case for exceptional originality, but I am less certain of equivalence to the user's very high benchmark.</x:v>
      </x:c>
      <x:c r="H265" s="29" t="str">
        <x:v>Physics roster</x:v>
      </x:c>
    </x:row>
    <x:row r="266" ht="36" customHeight="1">
      <x:c r="A266" s="29" t="str">
        <x:v>Physics</x:v>
      </x:c>
      <x:c r="B266" s="33" t="str">
        <x:v>Louis Néel</x:v>
      </x:c>
      <x:c r="C266" s="35" t="n">
        <x:v>1970</x:v>
      </x:c>
      <x:c r="D266" s="36" t="str">
        <x:v>1970</x:v>
      </x:c>
      <x:c r="E266" s="36" t="str">
        <x:v>Person</x:v>
      </x:c>
      <x:c r="F266" s="37" t="str">
        <x:v>Not established here</x:v>
      </x:c>
      <x:c r="G266" s="33" t="str">
        <x:v>Not included in this affirmative shortlist. This is not a finding of non-genius.</x:v>
      </x:c>
      <x:c r="H266" s="29" t="str">
        <x:v>Physics roster</x:v>
      </x:c>
    </x:row>
    <x:row r="267" ht="36" customHeight="1">
      <x:c r="A267" s="29" t="str">
        <x:v>Physics</x:v>
      </x:c>
      <x:c r="B267" s="33" t="str">
        <x:v>Dennis Gabor</x:v>
      </x:c>
      <x:c r="C267" s="35" t="n">
        <x:v>1971</x:v>
      </x:c>
      <x:c r="D267" s="36" t="str">
        <x:v>1971</x:v>
      </x:c>
      <x:c r="E267" s="36" t="str">
        <x:v>Person</x:v>
      </x:c>
      <x:c r="F267" s="37" t="str">
        <x:v>Borderline</x:v>
      </x:c>
      <x:c r="G267" s="33" t="str">
        <x:v>Strong case for exceptional originality, but I am less certain of equivalence to the user's very high benchmark.</x:v>
      </x:c>
      <x:c r="H267" s="29" t="str">
        <x:v>Physics roster</x:v>
      </x:c>
    </x:row>
    <x:row r="268" ht="36" customHeight="1">
      <x:c r="A268" s="29" t="str">
        <x:v>Physics</x:v>
      </x:c>
      <x:c r="B268" s="33" t="str">
        <x:v>John Robert Schrieffer</x:v>
      </x:c>
      <x:c r="C268" s="35" t="n">
        <x:v>1972</x:v>
      </x:c>
      <x:c r="D268" s="36" t="str">
        <x:v>1972</x:v>
      </x:c>
      <x:c r="E268" s="36" t="str">
        <x:v>Person</x:v>
      </x:c>
      <x:c r="F268" s="37" t="str">
        <x:v>Not established here</x:v>
      </x:c>
      <x:c r="G268" s="33" t="str">
        <x:v>Not included in this affirmative shortlist. This is not a finding of non-genius.</x:v>
      </x:c>
      <x:c r="H268" s="29" t="str">
        <x:v>Physics roster</x:v>
      </x:c>
    </x:row>
    <x:row r="269" ht="36" customHeight="1">
      <x:c r="A269" s="29" t="str">
        <x:v>Physics</x:v>
      </x:c>
      <x:c r="B269" s="33" t="str">
        <x:v>Leon Cooper</x:v>
      </x:c>
      <x:c r="C269" s="35" t="n">
        <x:v>1972</x:v>
      </x:c>
      <x:c r="D269" s="36" t="str">
        <x:v>1972</x:v>
      </x:c>
      <x:c r="E269" s="36" t="str">
        <x:v>Person</x:v>
      </x:c>
      <x:c r="F269" s="37" t="str">
        <x:v>Not established here</x:v>
      </x:c>
      <x:c r="G269" s="33" t="str">
        <x:v>Not included in this affirmative shortlist. This is not a finding of non-genius.</x:v>
      </x:c>
      <x:c r="H269" s="29" t="str">
        <x:v>Physics roster</x:v>
      </x:c>
    </x:row>
    <x:row r="270" ht="36" customHeight="1">
      <x:c r="A270" s="29" t="str">
        <x:v>Physics</x:v>
      </x:c>
      <x:c r="B270" s="33" t="str">
        <x:v>Brian Josephson</x:v>
      </x:c>
      <x:c r="C270" s="35" t="n">
        <x:v>1973</x:v>
      </x:c>
      <x:c r="D270" s="36" t="str">
        <x:v>1973</x:v>
      </x:c>
      <x:c r="E270" s="36" t="str">
        <x:v>Person</x:v>
      </x:c>
      <x:c r="F270" s="37" t="str">
        <x:v>Clear</x:v>
      </x:c>
      <x:c r="G270" s="33" t="str">
        <x:v>Exceptionally original prediction of tunnelling phenomena in superconductors.</x:v>
      </x:c>
      <x:c r="H270" s="29" t="str">
        <x:v>Physics roster</x:v>
      </x:c>
    </x:row>
    <x:row r="271" ht="36" customHeight="1">
      <x:c r="A271" s="29" t="str">
        <x:v>Physics</x:v>
      </x:c>
      <x:c r="B271" s="33" t="str">
        <x:v>Ivar Giaever</x:v>
      </x:c>
      <x:c r="C271" s="35" t="n">
        <x:v>1973</x:v>
      </x:c>
      <x:c r="D271" s="36" t="str">
        <x:v>1973</x:v>
      </x:c>
      <x:c r="E271" s="36" t="str">
        <x:v>Person</x:v>
      </x:c>
      <x:c r="F271" s="37" t="str">
        <x:v>Not established here</x:v>
      </x:c>
      <x:c r="G271" s="33" t="str">
        <x:v>Not included in this affirmative shortlist. This is not a finding of non-genius.</x:v>
      </x:c>
      <x:c r="H271" s="29" t="str">
        <x:v>Physics roster</x:v>
      </x:c>
    </x:row>
    <x:row r="272" ht="36" customHeight="1">
      <x:c r="A272" s="29" t="str">
        <x:v>Physics</x:v>
      </x:c>
      <x:c r="B272" s="33" t="str">
        <x:v>Leo Esaki</x:v>
      </x:c>
      <x:c r="C272" s="35" t="n">
        <x:v>1973</x:v>
      </x:c>
      <x:c r="D272" s="36" t="str">
        <x:v>1973</x:v>
      </x:c>
      <x:c r="E272" s="36" t="str">
        <x:v>Person</x:v>
      </x:c>
      <x:c r="F272" s="37" t="str">
        <x:v>Not established here</x:v>
      </x:c>
      <x:c r="G272" s="33" t="str">
        <x:v>Not included in this affirmative shortlist. This is not a finding of non-genius.</x:v>
      </x:c>
      <x:c r="H272" s="29" t="str">
        <x:v>Physics roster</x:v>
      </x:c>
    </x:row>
    <x:row r="273" ht="36" customHeight="1">
      <x:c r="A273" s="29" t="str">
        <x:v>Physics</x:v>
      </x:c>
      <x:c r="B273" s="33" t="str">
        <x:v>Antony Hewish</x:v>
      </x:c>
      <x:c r="C273" s="35" t="n">
        <x:v>1974</x:v>
      </x:c>
      <x:c r="D273" s="36" t="str">
        <x:v>1974</x:v>
      </x:c>
      <x:c r="E273" s="36" t="str">
        <x:v>Person</x:v>
      </x:c>
      <x:c r="F273" s="37" t="str">
        <x:v>Not established here</x:v>
      </x:c>
      <x:c r="G273" s="33" t="str">
        <x:v>Not included in this affirmative shortlist. This is not a finding of non-genius.</x:v>
      </x:c>
      <x:c r="H273" s="29" t="str">
        <x:v>Physics roster</x:v>
      </x:c>
    </x:row>
    <x:row r="274" ht="36" customHeight="1">
      <x:c r="A274" s="29" t="str">
        <x:v>Physics</x:v>
      </x:c>
      <x:c r="B274" s="33" t="str">
        <x:v>Martin Ryle</x:v>
      </x:c>
      <x:c r="C274" s="35" t="n">
        <x:v>1974</x:v>
      </x:c>
      <x:c r="D274" s="36" t="str">
        <x:v>1974</x:v>
      </x:c>
      <x:c r="E274" s="36" t="str">
        <x:v>Person</x:v>
      </x:c>
      <x:c r="F274" s="37" t="str">
        <x:v>Not established here</x:v>
      </x:c>
      <x:c r="G274" s="33" t="str">
        <x:v>Not included in this affirmative shortlist. This is not a finding of non-genius.</x:v>
      </x:c>
      <x:c r="H274" s="29" t="str">
        <x:v>Physics roster</x:v>
      </x:c>
    </x:row>
    <x:row r="275" ht="36" customHeight="1">
      <x:c r="A275" s="29" t="str">
        <x:v>Physics</x:v>
      </x:c>
      <x:c r="B275" s="33" t="str">
        <x:v>Aage Bohr</x:v>
      </x:c>
      <x:c r="C275" s="35" t="n">
        <x:v>1975</x:v>
      </x:c>
      <x:c r="D275" s="36" t="str">
        <x:v>1975</x:v>
      </x:c>
      <x:c r="E275" s="36" t="str">
        <x:v>Person</x:v>
      </x:c>
      <x:c r="F275" s="37" t="str">
        <x:v>Not established here</x:v>
      </x:c>
      <x:c r="G275" s="33" t="str">
        <x:v>Not included in this affirmative shortlist. This is not a finding of non-genius.</x:v>
      </x:c>
      <x:c r="H275" s="29" t="str">
        <x:v>Physics roster</x:v>
      </x:c>
    </x:row>
    <x:row r="276" ht="36" customHeight="1">
      <x:c r="A276" s="29" t="str">
        <x:v>Physics</x:v>
      </x:c>
      <x:c r="B276" s="33" t="str">
        <x:v>Ben Roy Mottelson</x:v>
      </x:c>
      <x:c r="C276" s="35" t="n">
        <x:v>1975</x:v>
      </x:c>
      <x:c r="D276" s="36" t="str">
        <x:v>1975</x:v>
      </x:c>
      <x:c r="E276" s="36" t="str">
        <x:v>Person</x:v>
      </x:c>
      <x:c r="F276" s="37" t="str">
        <x:v>Not established here</x:v>
      </x:c>
      <x:c r="G276" s="33" t="str">
        <x:v>Not included in this affirmative shortlist. This is not a finding of non-genius.</x:v>
      </x:c>
      <x:c r="H276" s="29" t="str">
        <x:v>Physics roster</x:v>
      </x:c>
    </x:row>
    <x:row r="277" ht="36" customHeight="1">
      <x:c r="A277" s="29" t="str">
        <x:v>Physics</x:v>
      </x:c>
      <x:c r="B277" s="33" t="str">
        <x:v>James Rainwater</x:v>
      </x:c>
      <x:c r="C277" s="35" t="n">
        <x:v>1975</x:v>
      </x:c>
      <x:c r="D277" s="36" t="str">
        <x:v>1975</x:v>
      </x:c>
      <x:c r="E277" s="36" t="str">
        <x:v>Person</x:v>
      </x:c>
      <x:c r="F277" s="37" t="str">
        <x:v>Not established here</x:v>
      </x:c>
      <x:c r="G277" s="33" t="str">
        <x:v>Not included in this affirmative shortlist. This is not a finding of non-genius.</x:v>
      </x:c>
      <x:c r="H277" s="29" t="str">
        <x:v>Physics roster</x:v>
      </x:c>
    </x:row>
    <x:row r="278" ht="36" customHeight="1">
      <x:c r="A278" s="29" t="str">
        <x:v>Physics</x:v>
      </x:c>
      <x:c r="B278" s="33" t="str">
        <x:v>Burton Richter</x:v>
      </x:c>
      <x:c r="C278" s="35" t="n">
        <x:v>1976</x:v>
      </x:c>
      <x:c r="D278" s="36" t="str">
        <x:v>1976</x:v>
      </x:c>
      <x:c r="E278" s="36" t="str">
        <x:v>Person</x:v>
      </x:c>
      <x:c r="F278" s="37" t="str">
        <x:v>Not established here</x:v>
      </x:c>
      <x:c r="G278" s="33" t="str">
        <x:v>Not included in this affirmative shortlist. This is not a finding of non-genius.</x:v>
      </x:c>
      <x:c r="H278" s="29" t="str">
        <x:v>Physics roster</x:v>
      </x:c>
    </x:row>
    <x:row r="279" ht="36" customHeight="1">
      <x:c r="A279" s="29" t="str">
        <x:v>Physics</x:v>
      </x:c>
      <x:c r="B279" s="33" t="str">
        <x:v>Samuel Ting</x:v>
      </x:c>
      <x:c r="C279" s="35" t="n">
        <x:v>1976</x:v>
      </x:c>
      <x:c r="D279" s="36" t="str">
        <x:v>1976</x:v>
      </x:c>
      <x:c r="E279" s="36" t="str">
        <x:v>Person</x:v>
      </x:c>
      <x:c r="F279" s="37" t="str">
        <x:v>Not established here</x:v>
      </x:c>
      <x:c r="G279" s="33" t="str">
        <x:v>Not included in this affirmative shortlist. This is not a finding of non-genius.</x:v>
      </x:c>
      <x:c r="H279" s="29" t="str">
        <x:v>Physics roster</x:v>
      </x:c>
    </x:row>
    <x:row r="280" ht="36" customHeight="1">
      <x:c r="A280" s="29" t="str">
        <x:v>Physics</x:v>
      </x:c>
      <x:c r="B280" s="33" t="str">
        <x:v>John Hasbrouck Van Vleck</x:v>
      </x:c>
      <x:c r="C280" s="35" t="n">
        <x:v>1977</x:v>
      </x:c>
      <x:c r="D280" s="36" t="str">
        <x:v>1977</x:v>
      </x:c>
      <x:c r="E280" s="36" t="str">
        <x:v>Person</x:v>
      </x:c>
      <x:c r="F280" s="37" t="str">
        <x:v>Borderline</x:v>
      </x:c>
      <x:c r="G280" s="33" t="str">
        <x:v>Strong case for exceptional originality, but I am less certain of equivalence to the user's very high benchmark.</x:v>
      </x:c>
      <x:c r="H280" s="29" t="str">
        <x:v>Physics roster</x:v>
      </x:c>
    </x:row>
    <x:row r="281" ht="36" customHeight="1">
      <x:c r="A281" s="29" t="str">
        <x:v>Physics</x:v>
      </x:c>
      <x:c r="B281" s="33" t="str">
        <x:v>Nevill Mott</x:v>
      </x:c>
      <x:c r="C281" s="35" t="n">
        <x:v>1977</x:v>
      </x:c>
      <x:c r="D281" s="36" t="str">
        <x:v>1977</x:v>
      </x:c>
      <x:c r="E281" s="36" t="str">
        <x:v>Person</x:v>
      </x:c>
      <x:c r="F281" s="37" t="str">
        <x:v>Borderline</x:v>
      </x:c>
      <x:c r="G281" s="33" t="str">
        <x:v>Strong case for exceptional originality, but I am less certain of equivalence to the user's very high benchmark.</x:v>
      </x:c>
      <x:c r="H281" s="29" t="str">
        <x:v>Physics roster</x:v>
      </x:c>
    </x:row>
    <x:row r="282" ht="36" customHeight="1">
      <x:c r="A282" s="29" t="str">
        <x:v>Physics</x:v>
      </x:c>
      <x:c r="B282" s="33" t="str">
        <x:v>Philip Anderson</x:v>
      </x:c>
      <x:c r="C282" s="35" t="n">
        <x:v>1977</x:v>
      </x:c>
      <x:c r="D282" s="36" t="str">
        <x:v>1977</x:v>
      </x:c>
      <x:c r="E282" s="36" t="str">
        <x:v>Person</x:v>
      </x:c>
      <x:c r="F282" s="37" t="str">
        <x:v>Clear</x:v>
      </x:c>
      <x:c r="G282" s="33" t="str">
        <x:v>Foundational ideas in condensed matter, localization and emergence.</x:v>
      </x:c>
      <x:c r="H282" s="29" t="str">
        <x:v>Physics roster</x:v>
      </x:c>
    </x:row>
    <x:row r="283" ht="36" customHeight="1">
      <x:c r="A283" s="29" t="str">
        <x:v>Physics</x:v>
      </x:c>
      <x:c r="B283" s="33" t="str">
        <x:v>Arno Allan Penzias</x:v>
      </x:c>
      <x:c r="C283" s="35" t="n">
        <x:v>1978</x:v>
      </x:c>
      <x:c r="D283" s="36" t="str">
        <x:v>1978</x:v>
      </x:c>
      <x:c r="E283" s="36" t="str">
        <x:v>Person</x:v>
      </x:c>
      <x:c r="F283" s="37" t="str">
        <x:v>Not established here</x:v>
      </x:c>
      <x:c r="G283" s="33" t="str">
        <x:v>Not included in this affirmative shortlist. This is not a finding of non-genius.</x:v>
      </x:c>
      <x:c r="H283" s="29" t="str">
        <x:v>Physics roster</x:v>
      </x:c>
    </x:row>
    <x:row r="284" ht="36" customHeight="1">
      <x:c r="A284" s="29" t="str">
        <x:v>Physics</x:v>
      </x:c>
      <x:c r="B284" s="33" t="str">
        <x:v>Pyotr Kapitsa</x:v>
      </x:c>
      <x:c r="C284" s="35" t="n">
        <x:v>1978</x:v>
      </x:c>
      <x:c r="D284" s="36" t="str">
        <x:v>1978</x:v>
      </x:c>
      <x:c r="E284" s="36" t="str">
        <x:v>Person</x:v>
      </x:c>
      <x:c r="F284" s="37" t="str">
        <x:v>Borderline</x:v>
      </x:c>
      <x:c r="G284" s="33" t="str">
        <x:v>Strong case for exceptional originality, but I am less certain of equivalence to the user's very high benchmark.</x:v>
      </x:c>
      <x:c r="H284" s="29" t="str">
        <x:v>Physics roster</x:v>
      </x:c>
    </x:row>
    <x:row r="285" ht="36" customHeight="1">
      <x:c r="A285" s="29" t="str">
        <x:v>Physics</x:v>
      </x:c>
      <x:c r="B285" s="33" t="str">
        <x:v>Robert Woodrow Wilson</x:v>
      </x:c>
      <x:c r="C285" s="35" t="n">
        <x:v>1978</x:v>
      </x:c>
      <x:c r="D285" s="36" t="str">
        <x:v>1978</x:v>
      </x:c>
      <x:c r="E285" s="36" t="str">
        <x:v>Person</x:v>
      </x:c>
      <x:c r="F285" s="37" t="str">
        <x:v>Not established here</x:v>
      </x:c>
      <x:c r="G285" s="33" t="str">
        <x:v>Not included in this affirmative shortlist. This is not a finding of non-genius.</x:v>
      </x:c>
      <x:c r="H285" s="29" t="str">
        <x:v>Physics roster</x:v>
      </x:c>
    </x:row>
    <x:row r="286" ht="36" customHeight="1">
      <x:c r="A286" s="29" t="str">
        <x:v>Physics</x:v>
      </x:c>
      <x:c r="B286" s="33" t="str">
        <x:v>Abdus Salam</x:v>
      </x:c>
      <x:c r="C286" s="35" t="n">
        <x:v>1979</x:v>
      </x:c>
      <x:c r="D286" s="36" t="str">
        <x:v>1979</x:v>
      </x:c>
      <x:c r="E286" s="36" t="str">
        <x:v>Person</x:v>
      </x:c>
      <x:c r="F286" s="37" t="str">
        <x:v>Clear</x:v>
      </x:c>
      <x:c r="G286" s="33" t="str">
        <x:v>Foundational particle theory and electroweak unification.</x:v>
      </x:c>
      <x:c r="H286" s="29" t="str">
        <x:v>Physics roster</x:v>
      </x:c>
    </x:row>
    <x:row r="287" ht="36" customHeight="1">
      <x:c r="A287" s="29" t="str">
        <x:v>Physics</x:v>
      </x:c>
      <x:c r="B287" s="33" t="str">
        <x:v>Sheldon Glashow</x:v>
      </x:c>
      <x:c r="C287" s="35" t="n">
        <x:v>1979</x:v>
      </x:c>
      <x:c r="D287" s="36" t="str">
        <x:v>1979</x:v>
      </x:c>
      <x:c r="E287" s="36" t="str">
        <x:v>Person</x:v>
      </x:c>
      <x:c r="F287" s="37" t="str">
        <x:v>Clear</x:v>
      </x:c>
      <x:c r="G287" s="33" t="str">
        <x:v>Electroweak theory and the charm-quark mechanism.</x:v>
      </x:c>
      <x:c r="H287" s="29" t="str">
        <x:v>Physics roster</x:v>
      </x:c>
    </x:row>
    <x:row r="288" ht="36" customHeight="1">
      <x:c r="A288" s="29" t="str">
        <x:v>Physics</x:v>
      </x:c>
      <x:c r="B288" s="33" t="str">
        <x:v>Steven Weinberg</x:v>
      </x:c>
      <x:c r="C288" s="35" t="n">
        <x:v>1979</x:v>
      </x:c>
      <x:c r="D288" s="36" t="str">
        <x:v>1979</x:v>
      </x:c>
      <x:c r="E288" s="36" t="str">
        <x:v>Person</x:v>
      </x:c>
      <x:c r="F288" s="37" t="str">
        <x:v>Clear</x:v>
      </x:c>
      <x:c r="G288" s="33" t="str">
        <x:v>Electroweak unification and broad foundational theoretical physics.</x:v>
      </x:c>
      <x:c r="H288" s="29" t="str">
        <x:v>Physics roster</x:v>
      </x:c>
    </x:row>
    <x:row r="289" ht="36" customHeight="1">
      <x:c r="A289" s="29" t="str">
        <x:v>Physics</x:v>
      </x:c>
      <x:c r="B289" s="33" t="str">
        <x:v>James Cronin</x:v>
      </x:c>
      <x:c r="C289" s="35" t="n">
        <x:v>1980</x:v>
      </x:c>
      <x:c r="D289" s="36" t="str">
        <x:v>1980</x:v>
      </x:c>
      <x:c r="E289" s="36" t="str">
        <x:v>Person</x:v>
      </x:c>
      <x:c r="F289" s="37" t="str">
        <x:v>Not established here</x:v>
      </x:c>
      <x:c r="G289" s="33" t="str">
        <x:v>Not included in this affirmative shortlist. This is not a finding of non-genius.</x:v>
      </x:c>
      <x:c r="H289" s="29" t="str">
        <x:v>Physics roster</x:v>
      </x:c>
    </x:row>
    <x:row r="290" ht="36" customHeight="1">
      <x:c r="A290" s="29" t="str">
        <x:v>Physics</x:v>
      </x:c>
      <x:c r="B290" s="33" t="str">
        <x:v>Val Logsdon Fitch</x:v>
      </x:c>
      <x:c r="C290" s="35" t="n">
        <x:v>1980</x:v>
      </x:c>
      <x:c r="D290" s="36" t="str">
        <x:v>1980</x:v>
      </x:c>
      <x:c r="E290" s="36" t="str">
        <x:v>Person</x:v>
      </x:c>
      <x:c r="F290" s="37" t="str">
        <x:v>Not established here</x:v>
      </x:c>
      <x:c r="G290" s="33" t="str">
        <x:v>Not included in this affirmative shortlist. This is not a finding of non-genius.</x:v>
      </x:c>
      <x:c r="H290" s="29" t="str">
        <x:v>Physics roster</x:v>
      </x:c>
    </x:row>
    <x:row r="291" ht="36" customHeight="1">
      <x:c r="A291" s="29" t="str">
        <x:v>Physics</x:v>
      </x:c>
      <x:c r="B291" s="33" t="str">
        <x:v>Arthur Leonard Schawlow</x:v>
      </x:c>
      <x:c r="C291" s="35" t="n">
        <x:v>1981</x:v>
      </x:c>
      <x:c r="D291" s="36" t="str">
        <x:v>1981</x:v>
      </x:c>
      <x:c r="E291" s="36" t="str">
        <x:v>Person</x:v>
      </x:c>
      <x:c r="F291" s="37" t="str">
        <x:v>Not established here</x:v>
      </x:c>
      <x:c r="G291" s="33" t="str">
        <x:v>Not included in this affirmative shortlist. This is not a finding of non-genius.</x:v>
      </x:c>
      <x:c r="H291" s="29" t="str">
        <x:v>Physics roster</x:v>
      </x:c>
    </x:row>
    <x:row r="292" ht="36" customHeight="1">
      <x:c r="A292" s="29" t="str">
        <x:v>Physics</x:v>
      </x:c>
      <x:c r="B292" s="33" t="str">
        <x:v>Kai Siegbahn</x:v>
      </x:c>
      <x:c r="C292" s="35" t="n">
        <x:v>1981</x:v>
      </x:c>
      <x:c r="D292" s="36" t="str">
        <x:v>1981</x:v>
      </x:c>
      <x:c r="E292" s="36" t="str">
        <x:v>Person</x:v>
      </x:c>
      <x:c r="F292" s="37" t="str">
        <x:v>Not established here</x:v>
      </x:c>
      <x:c r="G292" s="33" t="str">
        <x:v>Not included in this affirmative shortlist. This is not a finding of non-genius.</x:v>
      </x:c>
      <x:c r="H292" s="29" t="str">
        <x:v>Physics roster</x:v>
      </x:c>
    </x:row>
    <x:row r="293" ht="36" customHeight="1">
      <x:c r="A293" s="29" t="str">
        <x:v>Physics</x:v>
      </x:c>
      <x:c r="B293" s="33" t="str">
        <x:v>Nicolaas Bloembergen</x:v>
      </x:c>
      <x:c r="C293" s="35" t="n">
        <x:v>1981</x:v>
      </x:c>
      <x:c r="D293" s="36" t="str">
        <x:v>1981</x:v>
      </x:c>
      <x:c r="E293" s="36" t="str">
        <x:v>Person</x:v>
      </x:c>
      <x:c r="F293" s="37" t="str">
        <x:v>Not established here</x:v>
      </x:c>
      <x:c r="G293" s="33" t="str">
        <x:v>Not included in this affirmative shortlist. This is not a finding of non-genius.</x:v>
      </x:c>
      <x:c r="H293" s="29" t="str">
        <x:v>Physics roster</x:v>
      </x:c>
    </x:row>
    <x:row r="294" ht="36" customHeight="1">
      <x:c r="A294" s="29" t="str">
        <x:v>Physics</x:v>
      </x:c>
      <x:c r="B294" s="33" t="str">
        <x:v>Kenneth G. Wilson</x:v>
      </x:c>
      <x:c r="C294" s="35" t="n">
        <x:v>1982</x:v>
      </x:c>
      <x:c r="D294" s="36" t="str">
        <x:v>1982</x:v>
      </x:c>
      <x:c r="E294" s="36" t="str">
        <x:v>Person</x:v>
      </x:c>
      <x:c r="F294" s="37" t="str">
        <x:v>Clear</x:v>
      </x:c>
      <x:c r="G294" s="33" t="str">
        <x:v>Renormalization-group reconstruction of critical phenomena.</x:v>
      </x:c>
      <x:c r="H294" s="29" t="str">
        <x:v>Physics roster</x:v>
      </x:c>
    </x:row>
    <x:row r="295" ht="36" customHeight="1">
      <x:c r="A295" s="29" t="str">
        <x:v>Physics</x:v>
      </x:c>
      <x:c r="B295" s="33" t="str">
        <x:v>Subrahmanyan Chandrasekhar</x:v>
      </x:c>
      <x:c r="C295" s="35" t="n">
        <x:v>1983</x:v>
      </x:c>
      <x:c r="D295" s="36" t="str">
        <x:v>1983</x:v>
      </x:c>
      <x:c r="E295" s="36" t="str">
        <x:v>Person</x:v>
      </x:c>
      <x:c r="F295" s="37" t="str">
        <x:v>Clear</x:v>
      </x:c>
      <x:c r="G295" s="33" t="str">
        <x:v>Deep mathematical theories across astrophysics.</x:v>
      </x:c>
      <x:c r="H295" s="29" t="str">
        <x:v>Physics roster</x:v>
      </x:c>
    </x:row>
    <x:row r="296" ht="36" customHeight="1">
      <x:c r="A296" s="29" t="str">
        <x:v>Physics</x:v>
      </x:c>
      <x:c r="B296" s="33" t="str">
        <x:v>William Alfred Fowler</x:v>
      </x:c>
      <x:c r="C296" s="35" t="n">
        <x:v>1983</x:v>
      </x:c>
      <x:c r="D296" s="36" t="str">
        <x:v>1983</x:v>
      </x:c>
      <x:c r="E296" s="36" t="str">
        <x:v>Person</x:v>
      </x:c>
      <x:c r="F296" s="37" t="str">
        <x:v>Not established here</x:v>
      </x:c>
      <x:c r="G296" s="33" t="str">
        <x:v>Not included in this affirmative shortlist. This is not a finding of non-genius.</x:v>
      </x:c>
      <x:c r="H296" s="29" t="str">
        <x:v>Physics roster</x:v>
      </x:c>
    </x:row>
    <x:row r="297" ht="36" customHeight="1">
      <x:c r="A297" s="29" t="str">
        <x:v>Physics</x:v>
      </x:c>
      <x:c r="B297" s="33" t="str">
        <x:v>Carlo Rubbia</x:v>
      </x:c>
      <x:c r="C297" s="35" t="n">
        <x:v>1984</x:v>
      </x:c>
      <x:c r="D297" s="36" t="str">
        <x:v>1984</x:v>
      </x:c>
      <x:c r="E297" s="36" t="str">
        <x:v>Person</x:v>
      </x:c>
      <x:c r="F297" s="37" t="str">
        <x:v>Not established here</x:v>
      </x:c>
      <x:c r="G297" s="33" t="str">
        <x:v>Not included in this affirmative shortlist. This is not a finding of non-genius.</x:v>
      </x:c>
      <x:c r="H297" s="29" t="str">
        <x:v>Physics roster</x:v>
      </x:c>
    </x:row>
    <x:row r="298" ht="36" customHeight="1">
      <x:c r="A298" s="29" t="str">
        <x:v>Physics</x:v>
      </x:c>
      <x:c r="B298" s="33" t="str">
        <x:v>Simon van der Meer</x:v>
      </x:c>
      <x:c r="C298" s="35" t="n">
        <x:v>1984</x:v>
      </x:c>
      <x:c r="D298" s="36" t="str">
        <x:v>1984</x:v>
      </x:c>
      <x:c r="E298" s="36" t="str">
        <x:v>Person</x:v>
      </x:c>
      <x:c r="F298" s="37" t="str">
        <x:v>Not established here</x:v>
      </x:c>
      <x:c r="G298" s="33" t="str">
        <x:v>Not included in this affirmative shortlist. This is not a finding of non-genius.</x:v>
      </x:c>
      <x:c r="H298" s="29" t="str">
        <x:v>Physics roster</x:v>
      </x:c>
    </x:row>
    <x:row r="299" ht="36" customHeight="1">
      <x:c r="A299" s="29" t="str">
        <x:v>Physics</x:v>
      </x:c>
      <x:c r="B299" s="33" t="str">
        <x:v>Klaus von Klitzing</x:v>
      </x:c>
      <x:c r="C299" s="35" t="n">
        <x:v>1985</x:v>
      </x:c>
      <x:c r="D299" s="36" t="str">
        <x:v>1985</x:v>
      </x:c>
      <x:c r="E299" s="36" t="str">
        <x:v>Person</x:v>
      </x:c>
      <x:c r="F299" s="37" t="str">
        <x:v>Not established here</x:v>
      </x:c>
      <x:c r="G299" s="33" t="str">
        <x:v>Not included in this affirmative shortlist. This is not a finding of non-genius.</x:v>
      </x:c>
      <x:c r="H299" s="29" t="str">
        <x:v>Physics roster</x:v>
      </x:c>
    </x:row>
    <x:row r="300" ht="36" customHeight="1">
      <x:c r="A300" s="29" t="str">
        <x:v>Physics</x:v>
      </x:c>
      <x:c r="B300" s="33" t="str">
        <x:v>Ernst Ruska</x:v>
      </x:c>
      <x:c r="C300" s="35" t="n">
        <x:v>1986</x:v>
      </x:c>
      <x:c r="D300" s="36" t="str">
        <x:v>1986</x:v>
      </x:c>
      <x:c r="E300" s="36" t="str">
        <x:v>Person</x:v>
      </x:c>
      <x:c r="F300" s="37" t="str">
        <x:v>Not established here</x:v>
      </x:c>
      <x:c r="G300" s="33" t="str">
        <x:v>Not included in this affirmative shortlist. This is not a finding of non-genius.</x:v>
      </x:c>
      <x:c r="H300" s="29" t="str">
        <x:v>Physics roster</x:v>
      </x:c>
    </x:row>
    <x:row r="301" ht="36" customHeight="1">
      <x:c r="A301" s="29" t="str">
        <x:v>Physics</x:v>
      </x:c>
      <x:c r="B301" s="33" t="str">
        <x:v>Gerd Binnig</x:v>
      </x:c>
      <x:c r="C301" s="35" t="n">
        <x:v>1986</x:v>
      </x:c>
      <x:c r="D301" s="36" t="str">
        <x:v>1986</x:v>
      </x:c>
      <x:c r="E301" s="36" t="str">
        <x:v>Person</x:v>
      </x:c>
      <x:c r="F301" s="37" t="str">
        <x:v>Not established here</x:v>
      </x:c>
      <x:c r="G301" s="33" t="str">
        <x:v>Not included in this affirmative shortlist. This is not a finding of non-genius.</x:v>
      </x:c>
      <x:c r="H301" s="29" t="str">
        <x:v>Physics roster</x:v>
      </x:c>
    </x:row>
    <x:row r="302" ht="36" customHeight="1">
      <x:c r="A302" s="29" t="str">
        <x:v>Physics</x:v>
      </x:c>
      <x:c r="B302" s="33" t="str">
        <x:v>Heinrich Rohrer</x:v>
      </x:c>
      <x:c r="C302" s="35" t="n">
        <x:v>1986</x:v>
      </x:c>
      <x:c r="D302" s="36" t="str">
        <x:v>1986</x:v>
      </x:c>
      <x:c r="E302" s="36" t="str">
        <x:v>Person</x:v>
      </x:c>
      <x:c r="F302" s="37" t="str">
        <x:v>Not established here</x:v>
      </x:c>
      <x:c r="G302" s="33" t="str">
        <x:v>Not included in this affirmative shortlist. This is not a finding of non-genius.</x:v>
      </x:c>
      <x:c r="H302" s="29" t="str">
        <x:v>Physics roster</x:v>
      </x:c>
    </x:row>
    <x:row r="303" ht="36" customHeight="1">
      <x:c r="A303" s="29" t="str">
        <x:v>Physics</x:v>
      </x:c>
      <x:c r="B303" s="33" t="str">
        <x:v>Georg Bednorz</x:v>
      </x:c>
      <x:c r="C303" s="35" t="n">
        <x:v>1987</x:v>
      </x:c>
      <x:c r="D303" s="36" t="str">
        <x:v>1987</x:v>
      </x:c>
      <x:c r="E303" s="36" t="str">
        <x:v>Person</x:v>
      </x:c>
      <x:c r="F303" s="37" t="str">
        <x:v>Not established here</x:v>
      </x:c>
      <x:c r="G303" s="33" t="str">
        <x:v>Not included in this affirmative shortlist. This is not a finding of non-genius.</x:v>
      </x:c>
      <x:c r="H303" s="29" t="str">
        <x:v>Physics roster</x:v>
      </x:c>
    </x:row>
    <x:row r="304" ht="36" customHeight="1">
      <x:c r="A304" s="29" t="str">
        <x:v>Physics</x:v>
      </x:c>
      <x:c r="B304" s="33" t="str">
        <x:v>K. Alex Müller</x:v>
      </x:c>
      <x:c r="C304" s="35" t="n">
        <x:v>1987</x:v>
      </x:c>
      <x:c r="D304" s="36" t="str">
        <x:v>1987</x:v>
      </x:c>
      <x:c r="E304" s="36" t="str">
        <x:v>Person</x:v>
      </x:c>
      <x:c r="F304" s="37" t="str">
        <x:v>Not established here</x:v>
      </x:c>
      <x:c r="G304" s="33" t="str">
        <x:v>Not included in this affirmative shortlist. This is not a finding of non-genius.</x:v>
      </x:c>
      <x:c r="H304" s="29" t="str">
        <x:v>Physics roster</x:v>
      </x:c>
    </x:row>
    <x:row r="305" ht="36" customHeight="1">
      <x:c r="A305" s="29" t="str">
        <x:v>Physics</x:v>
      </x:c>
      <x:c r="B305" s="33" t="str">
        <x:v>Jack Steinberger</x:v>
      </x:c>
      <x:c r="C305" s="35" t="n">
        <x:v>1988</x:v>
      </x:c>
      <x:c r="D305" s="36" t="str">
        <x:v>1988</x:v>
      </x:c>
      <x:c r="E305" s="36" t="str">
        <x:v>Person</x:v>
      </x:c>
      <x:c r="F305" s="37" t="str">
        <x:v>Not established here</x:v>
      </x:c>
      <x:c r="G305" s="33" t="str">
        <x:v>Not included in this affirmative shortlist. This is not a finding of non-genius.</x:v>
      </x:c>
      <x:c r="H305" s="29" t="str">
        <x:v>Physics roster</x:v>
      </x:c>
    </x:row>
    <x:row r="306" ht="36" customHeight="1">
      <x:c r="A306" s="29" t="str">
        <x:v>Physics</x:v>
      </x:c>
      <x:c r="B306" s="33" t="str">
        <x:v>Leon M. Lederman</x:v>
      </x:c>
      <x:c r="C306" s="35" t="n">
        <x:v>1988</x:v>
      </x:c>
      <x:c r="D306" s="36" t="str">
        <x:v>1988</x:v>
      </x:c>
      <x:c r="E306" s="36" t="str">
        <x:v>Person</x:v>
      </x:c>
      <x:c r="F306" s="37" t="str">
        <x:v>Not established here</x:v>
      </x:c>
      <x:c r="G306" s="33" t="str">
        <x:v>Not included in this affirmative shortlist. This is not a finding of non-genius.</x:v>
      </x:c>
      <x:c r="H306" s="29" t="str">
        <x:v>Physics roster</x:v>
      </x:c>
    </x:row>
    <x:row r="307" ht="36" customHeight="1">
      <x:c r="A307" s="29" t="str">
        <x:v>Physics</x:v>
      </x:c>
      <x:c r="B307" s="33" t="str">
        <x:v>Melvin Schwartz</x:v>
      </x:c>
      <x:c r="C307" s="35" t="n">
        <x:v>1988</x:v>
      </x:c>
      <x:c r="D307" s="36" t="str">
        <x:v>1988</x:v>
      </x:c>
      <x:c r="E307" s="36" t="str">
        <x:v>Person</x:v>
      </x:c>
      <x:c r="F307" s="37" t="str">
        <x:v>Not established here</x:v>
      </x:c>
      <x:c r="G307" s="33" t="str">
        <x:v>Not included in this affirmative shortlist. This is not a finding of non-genius.</x:v>
      </x:c>
      <x:c r="H307" s="29" t="str">
        <x:v>Physics roster</x:v>
      </x:c>
    </x:row>
    <x:row r="308" ht="36" customHeight="1">
      <x:c r="A308" s="29" t="str">
        <x:v>Physics</x:v>
      </x:c>
      <x:c r="B308" s="33" t="str">
        <x:v>Hans Dehmelt</x:v>
      </x:c>
      <x:c r="C308" s="35" t="n">
        <x:v>1989</x:v>
      </x:c>
      <x:c r="D308" s="36" t="str">
        <x:v>1989</x:v>
      </x:c>
      <x:c r="E308" s="36" t="str">
        <x:v>Person</x:v>
      </x:c>
      <x:c r="F308" s="37" t="str">
        <x:v>Not established here</x:v>
      </x:c>
      <x:c r="G308" s="33" t="str">
        <x:v>Not included in this affirmative shortlist. This is not a finding of non-genius.</x:v>
      </x:c>
      <x:c r="H308" s="29" t="str">
        <x:v>Physics roster</x:v>
      </x:c>
    </x:row>
    <x:row r="309" ht="36" customHeight="1">
      <x:c r="A309" s="29" t="str">
        <x:v>Physics</x:v>
      </x:c>
      <x:c r="B309" s="33" t="str">
        <x:v>Norman Ramsey</x:v>
      </x:c>
      <x:c r="C309" s="35" t="n">
        <x:v>1989</x:v>
      </x:c>
      <x:c r="D309" s="36" t="str">
        <x:v>1989</x:v>
      </x:c>
      <x:c r="E309" s="36" t="str">
        <x:v>Person</x:v>
      </x:c>
      <x:c r="F309" s="37" t="str">
        <x:v>Not established here</x:v>
      </x:c>
      <x:c r="G309" s="33" t="str">
        <x:v>Not included in this affirmative shortlist. This is not a finding of non-genius.</x:v>
      </x:c>
      <x:c r="H309" s="29" t="str">
        <x:v>Physics roster</x:v>
      </x:c>
    </x:row>
    <x:row r="310" ht="36" customHeight="1">
      <x:c r="A310" s="29" t="str">
        <x:v>Physics</x:v>
      </x:c>
      <x:c r="B310" s="33" t="str">
        <x:v>Wolfgang Paul</x:v>
      </x:c>
      <x:c r="C310" s="35" t="n">
        <x:v>1989</x:v>
      </x:c>
      <x:c r="D310" s="36" t="str">
        <x:v>1989</x:v>
      </x:c>
      <x:c r="E310" s="36" t="str">
        <x:v>Person</x:v>
      </x:c>
      <x:c r="F310" s="37" t="str">
        <x:v>Not established here</x:v>
      </x:c>
      <x:c r="G310" s="33" t="str">
        <x:v>Not included in this affirmative shortlist. This is not a finding of non-genius.</x:v>
      </x:c>
      <x:c r="H310" s="29" t="str">
        <x:v>Physics roster</x:v>
      </x:c>
    </x:row>
    <x:row r="311" ht="36" customHeight="1">
      <x:c r="A311" s="29" t="str">
        <x:v>Physics</x:v>
      </x:c>
      <x:c r="B311" s="33" t="str">
        <x:v>Henry Kendall</x:v>
      </x:c>
      <x:c r="C311" s="35" t="n">
        <x:v>1990</x:v>
      </x:c>
      <x:c r="D311" s="36" t="str">
        <x:v>1990</x:v>
      </x:c>
      <x:c r="E311" s="36" t="str">
        <x:v>Person</x:v>
      </x:c>
      <x:c r="F311" s="37" t="str">
        <x:v>Not established here</x:v>
      </x:c>
      <x:c r="G311" s="33" t="str">
        <x:v>Not included in this affirmative shortlist. This is not a finding of non-genius.</x:v>
      </x:c>
      <x:c r="H311" s="29" t="str">
        <x:v>Physics roster</x:v>
      </x:c>
    </x:row>
    <x:row r="312" ht="36" customHeight="1">
      <x:c r="A312" s="29" t="str">
        <x:v>Physics</x:v>
      </x:c>
      <x:c r="B312" s="33" t="str">
        <x:v>Jerome Friedman</x:v>
      </x:c>
      <x:c r="C312" s="35" t="n">
        <x:v>1990</x:v>
      </x:c>
      <x:c r="D312" s="36" t="str">
        <x:v>1990</x:v>
      </x:c>
      <x:c r="E312" s="36" t="str">
        <x:v>Person</x:v>
      </x:c>
      <x:c r="F312" s="37" t="str">
        <x:v>Not established here</x:v>
      </x:c>
      <x:c r="G312" s="33" t="str">
        <x:v>Not included in this affirmative shortlist. This is not a finding of non-genius.</x:v>
      </x:c>
      <x:c r="H312" s="29" t="str">
        <x:v>Physics roster</x:v>
      </x:c>
    </x:row>
    <x:row r="313" ht="36" customHeight="1">
      <x:c r="A313" s="29" t="str">
        <x:v>Physics</x:v>
      </x:c>
      <x:c r="B313" s="33" t="str">
        <x:v>Richard E. Taylor</x:v>
      </x:c>
      <x:c r="C313" s="35" t="n">
        <x:v>1990</x:v>
      </x:c>
      <x:c r="D313" s="36" t="str">
        <x:v>1990</x:v>
      </x:c>
      <x:c r="E313" s="36" t="str">
        <x:v>Person</x:v>
      </x:c>
      <x:c r="F313" s="37" t="str">
        <x:v>Not established here</x:v>
      </x:c>
      <x:c r="G313" s="33" t="str">
        <x:v>Not included in this affirmative shortlist. This is not a finding of non-genius.</x:v>
      </x:c>
      <x:c r="H313" s="29" t="str">
        <x:v>Physics roster</x:v>
      </x:c>
    </x:row>
    <x:row r="314" ht="36" customHeight="1">
      <x:c r="A314" s="29" t="str">
        <x:v>Physics</x:v>
      </x:c>
      <x:c r="B314" s="33" t="str">
        <x:v>Pierre-Gilles de Gennes</x:v>
      </x:c>
      <x:c r="C314" s="35" t="n">
        <x:v>1991</x:v>
      </x:c>
      <x:c r="D314" s="36" t="str">
        <x:v>1991</x:v>
      </x:c>
      <x:c r="E314" s="36" t="str">
        <x:v>Person</x:v>
      </x:c>
      <x:c r="F314" s="37" t="str">
        <x:v>Clear</x:v>
      </x:c>
      <x:c r="G314" s="33" t="str">
        <x:v>Original unifying theory across soft condensed matter.</x:v>
      </x:c>
      <x:c r="H314" s="29" t="str">
        <x:v>Physics roster</x:v>
      </x:c>
    </x:row>
    <x:row r="315" ht="36" customHeight="1">
      <x:c r="A315" s="29" t="str">
        <x:v>Physics</x:v>
      </x:c>
      <x:c r="B315" s="33" t="str">
        <x:v>Georges Charpak</x:v>
      </x:c>
      <x:c r="C315" s="35" t="n">
        <x:v>1992</x:v>
      </x:c>
      <x:c r="D315" s="36" t="str">
        <x:v>1992</x:v>
      </x:c>
      <x:c r="E315" s="36" t="str">
        <x:v>Person</x:v>
      </x:c>
      <x:c r="F315" s="37" t="str">
        <x:v>Not established here</x:v>
      </x:c>
      <x:c r="G315" s="33" t="str">
        <x:v>Not included in this affirmative shortlist. This is not a finding of non-genius.</x:v>
      </x:c>
      <x:c r="H315" s="29" t="str">
        <x:v>Physics roster</x:v>
      </x:c>
    </x:row>
    <x:row r="316" ht="36" customHeight="1">
      <x:c r="A316" s="29" t="str">
        <x:v>Physics</x:v>
      </x:c>
      <x:c r="B316" s="33" t="str">
        <x:v>Joseph Taylor</x:v>
      </x:c>
      <x:c r="C316" s="35" t="n">
        <x:v>1993</x:v>
      </x:c>
      <x:c r="D316" s="36" t="str">
        <x:v>1993</x:v>
      </x:c>
      <x:c r="E316" s="36" t="str">
        <x:v>Person</x:v>
      </x:c>
      <x:c r="F316" s="37" t="str">
        <x:v>Not established here</x:v>
      </x:c>
      <x:c r="G316" s="33" t="str">
        <x:v>Not included in this affirmative shortlist. This is not a finding of non-genius.</x:v>
      </x:c>
      <x:c r="H316" s="29" t="str">
        <x:v>Physics roster</x:v>
      </x:c>
    </x:row>
    <x:row r="317" ht="36" customHeight="1">
      <x:c r="A317" s="29" t="str">
        <x:v>Physics</x:v>
      </x:c>
      <x:c r="B317" s="33" t="str">
        <x:v>Russell Hulse</x:v>
      </x:c>
      <x:c r="C317" s="35" t="n">
        <x:v>1993</x:v>
      </x:c>
      <x:c r="D317" s="36" t="str">
        <x:v>1993</x:v>
      </x:c>
      <x:c r="E317" s="36" t="str">
        <x:v>Person</x:v>
      </x:c>
      <x:c r="F317" s="37" t="str">
        <x:v>Not established here</x:v>
      </x:c>
      <x:c r="G317" s="33" t="str">
        <x:v>Not included in this affirmative shortlist. This is not a finding of non-genius.</x:v>
      </x:c>
      <x:c r="H317" s="29" t="str">
        <x:v>Physics roster</x:v>
      </x:c>
    </x:row>
    <x:row r="318" ht="36" customHeight="1">
      <x:c r="A318" s="29" t="str">
        <x:v>Physics</x:v>
      </x:c>
      <x:c r="B318" s="33" t="str">
        <x:v>Bertram Brockhouse</x:v>
      </x:c>
      <x:c r="C318" s="35" t="n">
        <x:v>1994</x:v>
      </x:c>
      <x:c r="D318" s="36" t="str">
        <x:v>1994</x:v>
      </x:c>
      <x:c r="E318" s="36" t="str">
        <x:v>Person</x:v>
      </x:c>
      <x:c r="F318" s="37" t="str">
        <x:v>Not established here</x:v>
      </x:c>
      <x:c r="G318" s="33" t="str">
        <x:v>Not included in this affirmative shortlist. This is not a finding of non-genius.</x:v>
      </x:c>
      <x:c r="H318" s="29" t="str">
        <x:v>Physics roster</x:v>
      </x:c>
    </x:row>
    <x:row r="319" ht="36" customHeight="1">
      <x:c r="A319" s="29" t="str">
        <x:v>Physics</x:v>
      </x:c>
      <x:c r="B319" s="33" t="str">
        <x:v>Clifford Shull</x:v>
      </x:c>
      <x:c r="C319" s="35" t="n">
        <x:v>1994</x:v>
      </x:c>
      <x:c r="D319" s="36" t="str">
        <x:v>1994</x:v>
      </x:c>
      <x:c r="E319" s="36" t="str">
        <x:v>Person</x:v>
      </x:c>
      <x:c r="F319" s="37" t="str">
        <x:v>Not established here</x:v>
      </x:c>
      <x:c r="G319" s="33" t="str">
        <x:v>Not included in this affirmative shortlist. This is not a finding of non-genius.</x:v>
      </x:c>
      <x:c r="H319" s="29" t="str">
        <x:v>Physics roster</x:v>
      </x:c>
    </x:row>
    <x:row r="320" ht="36" customHeight="1">
      <x:c r="A320" s="29" t="str">
        <x:v>Physics</x:v>
      </x:c>
      <x:c r="B320" s="33" t="str">
        <x:v>Frederick Reines</x:v>
      </x:c>
      <x:c r="C320" s="35" t="n">
        <x:v>1995</x:v>
      </x:c>
      <x:c r="D320" s="36" t="str">
        <x:v>1995</x:v>
      </x:c>
      <x:c r="E320" s="36" t="str">
        <x:v>Person</x:v>
      </x:c>
      <x:c r="F320" s="37" t="str">
        <x:v>Not established here</x:v>
      </x:c>
      <x:c r="G320" s="33" t="str">
        <x:v>Not included in this affirmative shortlist. This is not a finding of non-genius.</x:v>
      </x:c>
      <x:c r="H320" s="29" t="str">
        <x:v>Physics roster</x:v>
      </x:c>
    </x:row>
    <x:row r="321" ht="36" customHeight="1">
      <x:c r="A321" s="29" t="str">
        <x:v>Physics</x:v>
      </x:c>
      <x:c r="B321" s="33" t="str">
        <x:v>Martin Perl</x:v>
      </x:c>
      <x:c r="C321" s="35" t="n">
        <x:v>1995</x:v>
      </x:c>
      <x:c r="D321" s="36" t="str">
        <x:v>1995</x:v>
      </x:c>
      <x:c r="E321" s="36" t="str">
        <x:v>Person</x:v>
      </x:c>
      <x:c r="F321" s="37" t="str">
        <x:v>Not established here</x:v>
      </x:c>
      <x:c r="G321" s="33" t="str">
        <x:v>Not included in this affirmative shortlist. This is not a finding of non-genius.</x:v>
      </x:c>
      <x:c r="H321" s="29" t="str">
        <x:v>Physics roster</x:v>
      </x:c>
    </x:row>
    <x:row r="322" ht="36" customHeight="1">
      <x:c r="A322" s="29" t="str">
        <x:v>Physics</x:v>
      </x:c>
      <x:c r="B322" s="33" t="str">
        <x:v>David Lee</x:v>
      </x:c>
      <x:c r="C322" s="35" t="n">
        <x:v>1996</x:v>
      </x:c>
      <x:c r="D322" s="36" t="str">
        <x:v>1996</x:v>
      </x:c>
      <x:c r="E322" s="36" t="str">
        <x:v>Person</x:v>
      </x:c>
      <x:c r="F322" s="37" t="str">
        <x:v>Not established here</x:v>
      </x:c>
      <x:c r="G322" s="33" t="str">
        <x:v>Not included in this affirmative shortlist. This is not a finding of non-genius.</x:v>
      </x:c>
      <x:c r="H322" s="29" t="str">
        <x:v>Physics roster</x:v>
      </x:c>
    </x:row>
    <x:row r="323" ht="36" customHeight="1">
      <x:c r="A323" s="29" t="str">
        <x:v>Physics</x:v>
      </x:c>
      <x:c r="B323" s="33" t="str">
        <x:v>Douglas Osheroff</x:v>
      </x:c>
      <x:c r="C323" s="35" t="n">
        <x:v>1996</x:v>
      </x:c>
      <x:c r="D323" s="36" t="str">
        <x:v>1996</x:v>
      </x:c>
      <x:c r="E323" s="36" t="str">
        <x:v>Person</x:v>
      </x:c>
      <x:c r="F323" s="37" t="str">
        <x:v>Not established here</x:v>
      </x:c>
      <x:c r="G323" s="33" t="str">
        <x:v>Not included in this affirmative shortlist. This is not a finding of non-genius.</x:v>
      </x:c>
      <x:c r="H323" s="29" t="str">
        <x:v>Physics roster</x:v>
      </x:c>
    </x:row>
    <x:row r="324" ht="36" customHeight="1">
      <x:c r="A324" s="29" t="str">
        <x:v>Physics</x:v>
      </x:c>
      <x:c r="B324" s="33" t="str">
        <x:v>Robert C. Richardson</x:v>
      </x:c>
      <x:c r="C324" s="35" t="n">
        <x:v>1996</x:v>
      </x:c>
      <x:c r="D324" s="36" t="str">
        <x:v>1996</x:v>
      </x:c>
      <x:c r="E324" s="36" t="str">
        <x:v>Person</x:v>
      </x:c>
      <x:c r="F324" s="37" t="str">
        <x:v>Not established here</x:v>
      </x:c>
      <x:c r="G324" s="33" t="str">
        <x:v>Not included in this affirmative shortlist. This is not a finding of non-genius.</x:v>
      </x:c>
      <x:c r="H324" s="29" t="str">
        <x:v>Physics roster</x:v>
      </x:c>
    </x:row>
    <x:row r="325" ht="36" customHeight="1">
      <x:c r="A325" s="29" t="str">
        <x:v>Physics</x:v>
      </x:c>
      <x:c r="B325" s="33" t="str">
        <x:v>Claude Cohen-Tannoudji</x:v>
      </x:c>
      <x:c r="C325" s="35" t="n">
        <x:v>1997</x:v>
      </x:c>
      <x:c r="D325" s="36" t="str">
        <x:v>1997</x:v>
      </x:c>
      <x:c r="E325" s="36" t="str">
        <x:v>Person</x:v>
      </x:c>
      <x:c r="F325" s="37" t="str">
        <x:v>Borderline</x:v>
      </x:c>
      <x:c r="G325" s="33" t="str">
        <x:v>Strong case for exceptional originality, but I am less certain of equivalence to the user's very high benchmark.</x:v>
      </x:c>
      <x:c r="H325" s="29" t="str">
        <x:v>Physics roster</x:v>
      </x:c>
    </x:row>
    <x:row r="326" ht="36" customHeight="1">
      <x:c r="A326" s="29" t="str">
        <x:v>Physics</x:v>
      </x:c>
      <x:c r="B326" s="33" t="str">
        <x:v>Steven Chu</x:v>
      </x:c>
      <x:c r="C326" s="35" t="n">
        <x:v>1997</x:v>
      </x:c>
      <x:c r="D326" s="36" t="str">
        <x:v>1997</x:v>
      </x:c>
      <x:c r="E326" s="36" t="str">
        <x:v>Person</x:v>
      </x:c>
      <x:c r="F326" s="37" t="str">
        <x:v>Not established here</x:v>
      </x:c>
      <x:c r="G326" s="33" t="str">
        <x:v>Not included in this affirmative shortlist. This is not a finding of non-genius.</x:v>
      </x:c>
      <x:c r="H326" s="29" t="str">
        <x:v>Physics roster</x:v>
      </x:c>
    </x:row>
    <x:row r="327" ht="36" customHeight="1">
      <x:c r="A327" s="29" t="str">
        <x:v>Physics</x:v>
      </x:c>
      <x:c r="B327" s="33" t="str">
        <x:v>William Phillips</x:v>
      </x:c>
      <x:c r="C327" s="35" t="n">
        <x:v>1997</x:v>
      </x:c>
      <x:c r="D327" s="36" t="str">
        <x:v>1997</x:v>
      </x:c>
      <x:c r="E327" s="36" t="str">
        <x:v>Person</x:v>
      </x:c>
      <x:c r="F327" s="37" t="str">
        <x:v>Not established here</x:v>
      </x:c>
      <x:c r="G327" s="33" t="str">
        <x:v>Not included in this affirmative shortlist. This is not a finding of non-genius.</x:v>
      </x:c>
      <x:c r="H327" s="29" t="str">
        <x:v>Physics roster</x:v>
      </x:c>
    </x:row>
    <x:row r="328" ht="36" customHeight="1">
      <x:c r="A328" s="29" t="str">
        <x:v>Physics</x:v>
      </x:c>
      <x:c r="B328" s="33" t="str">
        <x:v>Daniel C. Tsui</x:v>
      </x:c>
      <x:c r="C328" s="35" t="n">
        <x:v>1998</x:v>
      </x:c>
      <x:c r="D328" s="36" t="str">
        <x:v>1998</x:v>
      </x:c>
      <x:c r="E328" s="36" t="str">
        <x:v>Person</x:v>
      </x:c>
      <x:c r="F328" s="37" t="str">
        <x:v>Not established here</x:v>
      </x:c>
      <x:c r="G328" s="33" t="str">
        <x:v>Not included in this affirmative shortlist. This is not a finding of non-genius.</x:v>
      </x:c>
      <x:c r="H328" s="29" t="str">
        <x:v>Physics roster</x:v>
      </x:c>
    </x:row>
    <x:row r="329" ht="36" customHeight="1">
      <x:c r="A329" s="29" t="str">
        <x:v>Physics</x:v>
      </x:c>
      <x:c r="B329" s="33" t="str">
        <x:v>Horst Störmer</x:v>
      </x:c>
      <x:c r="C329" s="35" t="n">
        <x:v>1998</x:v>
      </x:c>
      <x:c r="D329" s="36" t="str">
        <x:v>1998</x:v>
      </x:c>
      <x:c r="E329" s="36" t="str">
        <x:v>Person</x:v>
      </x:c>
      <x:c r="F329" s="37" t="str">
        <x:v>Not established here</x:v>
      </x:c>
      <x:c r="G329" s="33" t="str">
        <x:v>Not included in this affirmative shortlist. This is not a finding of non-genius.</x:v>
      </x:c>
      <x:c r="H329" s="29" t="str">
        <x:v>Physics roster</x:v>
      </x:c>
    </x:row>
    <x:row r="330" ht="36" customHeight="1">
      <x:c r="A330" s="29" t="str">
        <x:v>Physics</x:v>
      </x:c>
      <x:c r="B330" s="33" t="str">
        <x:v>Robert B. Laughlin</x:v>
      </x:c>
      <x:c r="C330" s="35" t="n">
        <x:v>1998</x:v>
      </x:c>
      <x:c r="D330" s="36" t="str">
        <x:v>1998</x:v>
      </x:c>
      <x:c r="E330" s="36" t="str">
        <x:v>Person</x:v>
      </x:c>
      <x:c r="F330" s="37" t="str">
        <x:v>Borderline</x:v>
      </x:c>
      <x:c r="G330" s="33" t="str">
        <x:v>Strong case for exceptional originality, but I am less certain of equivalence to the user's very high benchmark.</x:v>
      </x:c>
      <x:c r="H330" s="29" t="str">
        <x:v>Physics roster</x:v>
      </x:c>
    </x:row>
    <x:row r="331" ht="36" customHeight="1">
      <x:c r="A331" s="29" t="str">
        <x:v>Physics</x:v>
      </x:c>
      <x:c r="B331" s="33" t="str">
        <x:v>Gerard 't Hooft</x:v>
      </x:c>
      <x:c r="C331" s="35" t="n">
        <x:v>1999</x:v>
      </x:c>
      <x:c r="D331" s="36" t="str">
        <x:v>1999</x:v>
      </x:c>
      <x:c r="E331" s="36" t="str">
        <x:v>Person</x:v>
      </x:c>
      <x:c r="F331" s="37" t="str">
        <x:v>Clear</x:v>
      </x:c>
      <x:c r="G331" s="33" t="str">
        <x:v>Foundational gauge theory and quantum field theory.</x:v>
      </x:c>
      <x:c r="H331" s="29" t="str">
        <x:v>Physics roster</x:v>
      </x:c>
    </x:row>
    <x:row r="332" ht="36" customHeight="1">
      <x:c r="A332" s="29" t="str">
        <x:v>Physics</x:v>
      </x:c>
      <x:c r="B332" s="33" t="str">
        <x:v>Martinus J. G. Veltman</x:v>
      </x:c>
      <x:c r="C332" s="35" t="n">
        <x:v>1999</x:v>
      </x:c>
      <x:c r="D332" s="36" t="str">
        <x:v>1999</x:v>
      </x:c>
      <x:c r="E332" s="36" t="str">
        <x:v>Person</x:v>
      </x:c>
      <x:c r="F332" s="37" t="str">
        <x:v>Not established here</x:v>
      </x:c>
      <x:c r="G332" s="33" t="str">
        <x:v>Not included in this affirmative shortlist. This is not a finding of non-genius.</x:v>
      </x:c>
      <x:c r="H332" s="29" t="str">
        <x:v>Physics roster</x:v>
      </x:c>
    </x:row>
    <x:row r="333" ht="36" customHeight="1">
      <x:c r="A333" s="29" t="str">
        <x:v>Physics</x:v>
      </x:c>
      <x:c r="B333" s="33" t="str">
        <x:v>Herbert Kroemer</x:v>
      </x:c>
      <x:c r="C333" s="35" t="n">
        <x:v>2000</x:v>
      </x:c>
      <x:c r="D333" s="36" t="str">
        <x:v>2000</x:v>
      </x:c>
      <x:c r="E333" s="36" t="str">
        <x:v>Person</x:v>
      </x:c>
      <x:c r="F333" s="37" t="str">
        <x:v>Not established here</x:v>
      </x:c>
      <x:c r="G333" s="33" t="str">
        <x:v>Not included in this affirmative shortlist. This is not a finding of non-genius.</x:v>
      </x:c>
      <x:c r="H333" s="29" t="str">
        <x:v>Physics roster</x:v>
      </x:c>
    </x:row>
    <x:row r="334" ht="36" customHeight="1">
      <x:c r="A334" s="29" t="str">
        <x:v>Physics</x:v>
      </x:c>
      <x:c r="B334" s="33" t="str">
        <x:v>Jack Kilby</x:v>
      </x:c>
      <x:c r="C334" s="35" t="n">
        <x:v>2000</x:v>
      </x:c>
      <x:c r="D334" s="36" t="str">
        <x:v>2000</x:v>
      </x:c>
      <x:c r="E334" s="36" t="str">
        <x:v>Person</x:v>
      </x:c>
      <x:c r="F334" s="37" t="str">
        <x:v>Not established here</x:v>
      </x:c>
      <x:c r="G334" s="33" t="str">
        <x:v>Not included in this affirmative shortlist. This is not a finding of non-genius.</x:v>
      </x:c>
      <x:c r="H334" s="29" t="str">
        <x:v>Physics roster</x:v>
      </x:c>
    </x:row>
    <x:row r="335" ht="36" customHeight="1">
      <x:c r="A335" s="29" t="str">
        <x:v>Physics</x:v>
      </x:c>
      <x:c r="B335" s="33" t="str">
        <x:v>Zhores Alferov</x:v>
      </x:c>
      <x:c r="C335" s="35" t="n">
        <x:v>2000</x:v>
      </x:c>
      <x:c r="D335" s="36" t="str">
        <x:v>2000</x:v>
      </x:c>
      <x:c r="E335" s="36" t="str">
        <x:v>Person</x:v>
      </x:c>
      <x:c r="F335" s="37" t="str">
        <x:v>Not established here</x:v>
      </x:c>
      <x:c r="G335" s="33" t="str">
        <x:v>Not included in this affirmative shortlist. This is not a finding of non-genius.</x:v>
      </x:c>
      <x:c r="H335" s="29" t="str">
        <x:v>Physics roster</x:v>
      </x:c>
    </x:row>
    <x:row r="336" ht="36" customHeight="1">
      <x:c r="A336" s="29" t="str">
        <x:v>Physics</x:v>
      </x:c>
      <x:c r="B336" s="33" t="str">
        <x:v>Carl Wieman</x:v>
      </x:c>
      <x:c r="C336" s="35" t="n">
        <x:v>2001</x:v>
      </x:c>
      <x:c r="D336" s="36" t="str">
        <x:v>2001</x:v>
      </x:c>
      <x:c r="E336" s="36" t="str">
        <x:v>Person</x:v>
      </x:c>
      <x:c r="F336" s="37" t="str">
        <x:v>Not established here</x:v>
      </x:c>
      <x:c r="G336" s="33" t="str">
        <x:v>Not included in this affirmative shortlist. This is not a finding of non-genius.</x:v>
      </x:c>
      <x:c r="H336" s="29" t="str">
        <x:v>Physics roster</x:v>
      </x:c>
    </x:row>
    <x:row r="337" ht="36" customHeight="1">
      <x:c r="A337" s="29" t="str">
        <x:v>Physics</x:v>
      </x:c>
      <x:c r="B337" s="33" t="str">
        <x:v>Eric Cornell</x:v>
      </x:c>
      <x:c r="C337" s="35" t="n">
        <x:v>2001</x:v>
      </x:c>
      <x:c r="D337" s="36" t="str">
        <x:v>2001</x:v>
      </x:c>
      <x:c r="E337" s="36" t="str">
        <x:v>Person</x:v>
      </x:c>
      <x:c r="F337" s="37" t="str">
        <x:v>Not established here</x:v>
      </x:c>
      <x:c r="G337" s="33" t="str">
        <x:v>Not included in this affirmative shortlist. This is not a finding of non-genius.</x:v>
      </x:c>
      <x:c r="H337" s="29" t="str">
        <x:v>Physics roster</x:v>
      </x:c>
    </x:row>
    <x:row r="338" ht="36" customHeight="1">
      <x:c r="A338" s="29" t="str">
        <x:v>Physics</x:v>
      </x:c>
      <x:c r="B338" s="33" t="str">
        <x:v>Wolfgang Ketterle</x:v>
      </x:c>
      <x:c r="C338" s="35" t="n">
        <x:v>2001</x:v>
      </x:c>
      <x:c r="D338" s="36" t="str">
        <x:v>2001</x:v>
      </x:c>
      <x:c r="E338" s="36" t="str">
        <x:v>Person</x:v>
      </x:c>
      <x:c r="F338" s="37" t="str">
        <x:v>Not established here</x:v>
      </x:c>
      <x:c r="G338" s="33" t="str">
        <x:v>Not included in this affirmative shortlist. This is not a finding of non-genius.</x:v>
      </x:c>
      <x:c r="H338" s="29" t="str">
        <x:v>Physics roster</x:v>
      </x:c>
    </x:row>
    <x:row r="339" ht="36" customHeight="1">
      <x:c r="A339" s="29" t="str">
        <x:v>Physics</x:v>
      </x:c>
      <x:c r="B339" s="33" t="str">
        <x:v>Masatoshi Koshiba</x:v>
      </x:c>
      <x:c r="C339" s="35" t="n">
        <x:v>2002</x:v>
      </x:c>
      <x:c r="D339" s="36" t="str">
        <x:v>2002</x:v>
      </x:c>
      <x:c r="E339" s="36" t="str">
        <x:v>Person</x:v>
      </x:c>
      <x:c r="F339" s="37" t="str">
        <x:v>Not established here</x:v>
      </x:c>
      <x:c r="G339" s="33" t="str">
        <x:v>Not included in this affirmative shortlist. This is not a finding of non-genius.</x:v>
      </x:c>
      <x:c r="H339" s="29" t="str">
        <x:v>Physics roster</x:v>
      </x:c>
    </x:row>
    <x:row r="340" ht="36" customHeight="1">
      <x:c r="A340" s="29" t="str">
        <x:v>Physics</x:v>
      </x:c>
      <x:c r="B340" s="33" t="str">
        <x:v>Raymond Davis Jr.</x:v>
      </x:c>
      <x:c r="C340" s="35" t="n">
        <x:v>2002</x:v>
      </x:c>
      <x:c r="D340" s="36" t="str">
        <x:v>2002</x:v>
      </x:c>
      <x:c r="E340" s="36" t="str">
        <x:v>Person</x:v>
      </x:c>
      <x:c r="F340" s="37" t="str">
        <x:v>Not established here</x:v>
      </x:c>
      <x:c r="G340" s="33" t="str">
        <x:v>Not included in this affirmative shortlist. This is not a finding of non-genius.</x:v>
      </x:c>
      <x:c r="H340" s="29" t="str">
        <x:v>Physics roster</x:v>
      </x:c>
    </x:row>
    <x:row r="341" ht="36" customHeight="1">
      <x:c r="A341" s="29" t="str">
        <x:v>Physics</x:v>
      </x:c>
      <x:c r="B341" s="33" t="str">
        <x:v>Riccardo Giacconi</x:v>
      </x:c>
      <x:c r="C341" s="35" t="n">
        <x:v>2002</x:v>
      </x:c>
      <x:c r="D341" s="36" t="str">
        <x:v>2002</x:v>
      </x:c>
      <x:c r="E341" s="36" t="str">
        <x:v>Person</x:v>
      </x:c>
      <x:c r="F341" s="37" t="str">
        <x:v>Not established here</x:v>
      </x:c>
      <x:c r="G341" s="33" t="str">
        <x:v>Not included in this affirmative shortlist. This is not a finding of non-genius.</x:v>
      </x:c>
      <x:c r="H341" s="29" t="str">
        <x:v>Physics roster</x:v>
      </x:c>
    </x:row>
    <x:row r="342" ht="36" customHeight="1">
      <x:c r="A342" s="29" t="str">
        <x:v>Physics</x:v>
      </x:c>
      <x:c r="B342" s="33" t="str">
        <x:v>Alexei Abrikosov</x:v>
      </x:c>
      <x:c r="C342" s="35" t="n">
        <x:v>2003</x:v>
      </x:c>
      <x:c r="D342" s="36" t="str">
        <x:v>2003</x:v>
      </x:c>
      <x:c r="E342" s="36" t="str">
        <x:v>Person</x:v>
      </x:c>
      <x:c r="F342" s="37" t="str">
        <x:v>Borderline</x:v>
      </x:c>
      <x:c r="G342" s="33" t="str">
        <x:v>Strong case for exceptional originality, but I am less certain of equivalence to the user's very high benchmark.</x:v>
      </x:c>
      <x:c r="H342" s="29" t="str">
        <x:v>Physics roster</x:v>
      </x:c>
    </x:row>
    <x:row r="343" ht="36" customHeight="1">
      <x:c r="A343" s="29" t="str">
        <x:v>Physics</x:v>
      </x:c>
      <x:c r="B343" s="33" t="str">
        <x:v>Anthony Leggett</x:v>
      </x:c>
      <x:c r="C343" s="35" t="n">
        <x:v>2003</x:v>
      </x:c>
      <x:c r="D343" s="36" t="str">
        <x:v>2003</x:v>
      </x:c>
      <x:c r="E343" s="36" t="str">
        <x:v>Person</x:v>
      </x:c>
      <x:c r="F343" s="37" t="str">
        <x:v>Borderline</x:v>
      </x:c>
      <x:c r="G343" s="33" t="str">
        <x:v>Strong case for exceptional originality, but I am less certain of equivalence to the user's very high benchmark.</x:v>
      </x:c>
      <x:c r="H343" s="29" t="str">
        <x:v>Physics roster</x:v>
      </x:c>
    </x:row>
    <x:row r="344" ht="36" customHeight="1">
      <x:c r="A344" s="29" t="str">
        <x:v>Physics</x:v>
      </x:c>
      <x:c r="B344" s="33" t="str">
        <x:v>Vitaly Ginzburg</x:v>
      </x:c>
      <x:c r="C344" s="35" t="n">
        <x:v>2003</x:v>
      </x:c>
      <x:c r="D344" s="36" t="str">
        <x:v>2003</x:v>
      </x:c>
      <x:c r="E344" s="36" t="str">
        <x:v>Person</x:v>
      </x:c>
      <x:c r="F344" s="37" t="str">
        <x:v>Borderline</x:v>
      </x:c>
      <x:c r="G344" s="33" t="str">
        <x:v>Strong case for exceptional originality, but I am less certain of equivalence to the user's very high benchmark.</x:v>
      </x:c>
      <x:c r="H344" s="29" t="str">
        <x:v>Physics roster</x:v>
      </x:c>
    </x:row>
    <x:row r="345" ht="36" customHeight="1">
      <x:c r="A345" s="29" t="str">
        <x:v>Physics</x:v>
      </x:c>
      <x:c r="B345" s="33" t="str">
        <x:v>David Gross</x:v>
      </x:c>
      <x:c r="C345" s="35" t="n">
        <x:v>2004</x:v>
      </x:c>
      <x:c r="D345" s="36" t="str">
        <x:v>2004</x:v>
      </x:c>
      <x:c r="E345" s="36" t="str">
        <x:v>Person</x:v>
      </x:c>
      <x:c r="F345" s="37" t="str">
        <x:v>Borderline</x:v>
      </x:c>
      <x:c r="G345" s="33" t="str">
        <x:v>Strong case for exceptional originality, but I am less certain of equivalence to the user's very high benchmark.</x:v>
      </x:c>
      <x:c r="H345" s="29" t="str">
        <x:v>Physics roster</x:v>
      </x:c>
    </x:row>
    <x:row r="346" ht="36" customHeight="1">
      <x:c r="A346" s="29" t="str">
        <x:v>Physics</x:v>
      </x:c>
      <x:c r="B346" s="33" t="str">
        <x:v>David Politzer</x:v>
      </x:c>
      <x:c r="C346" s="35" t="n">
        <x:v>2004</x:v>
      </x:c>
      <x:c r="D346" s="36" t="str">
        <x:v>2004</x:v>
      </x:c>
      <x:c r="E346" s="36" t="str">
        <x:v>Person</x:v>
      </x:c>
      <x:c r="F346" s="37" t="str">
        <x:v>Borderline</x:v>
      </x:c>
      <x:c r="G346" s="33" t="str">
        <x:v>Strong case for exceptional originality, but I am less certain of equivalence to the user's very high benchmark.</x:v>
      </x:c>
      <x:c r="H346" s="29" t="str">
        <x:v>Physics roster</x:v>
      </x:c>
    </x:row>
    <x:row r="347" ht="36" customHeight="1">
      <x:c r="A347" s="29" t="str">
        <x:v>Physics</x:v>
      </x:c>
      <x:c r="B347" s="33" t="str">
        <x:v>Frank Wilczek</x:v>
      </x:c>
      <x:c r="C347" s="35" t="n">
        <x:v>2004</x:v>
      </x:c>
      <x:c r="D347" s="36" t="str">
        <x:v>2004</x:v>
      </x:c>
      <x:c r="E347" s="36" t="str">
        <x:v>Person</x:v>
      </x:c>
      <x:c r="F347" s="37" t="str">
        <x:v>Borderline</x:v>
      </x:c>
      <x:c r="G347" s="33" t="str">
        <x:v>Strong case for exceptional originality, but I am less certain of equivalence to the user's very high benchmark.</x:v>
      </x:c>
      <x:c r="H347" s="29" t="str">
        <x:v>Physics roster</x:v>
      </x:c>
    </x:row>
    <x:row r="348" ht="36" customHeight="1">
      <x:c r="A348" s="29" t="str">
        <x:v>Physics</x:v>
      </x:c>
      <x:c r="B348" s="33" t="str">
        <x:v>John L. Hall</x:v>
      </x:c>
      <x:c r="C348" s="35" t="n">
        <x:v>2005</x:v>
      </x:c>
      <x:c r="D348" s="36" t="str">
        <x:v>2005</x:v>
      </x:c>
      <x:c r="E348" s="36" t="str">
        <x:v>Person</x:v>
      </x:c>
      <x:c r="F348" s="37" t="str">
        <x:v>Not established here</x:v>
      </x:c>
      <x:c r="G348" s="33" t="str">
        <x:v>Not included in this affirmative shortlist. This is not a finding of non-genius.</x:v>
      </x:c>
      <x:c r="H348" s="29" t="str">
        <x:v>Physics roster</x:v>
      </x:c>
    </x:row>
    <x:row r="349" ht="36" customHeight="1">
      <x:c r="A349" s="29" t="str">
        <x:v>Physics</x:v>
      </x:c>
      <x:c r="B349" s="33" t="str">
        <x:v>Roy J. Glauber</x:v>
      </x:c>
      <x:c r="C349" s="35" t="n">
        <x:v>2005</x:v>
      </x:c>
      <x:c r="D349" s="36" t="str">
        <x:v>2005</x:v>
      </x:c>
      <x:c r="E349" s="36" t="str">
        <x:v>Person</x:v>
      </x:c>
      <x:c r="F349" s="37" t="str">
        <x:v>Borderline</x:v>
      </x:c>
      <x:c r="G349" s="33" t="str">
        <x:v>Strong case for exceptional originality, but I am less certain of equivalence to the user's very high benchmark.</x:v>
      </x:c>
      <x:c r="H349" s="29" t="str">
        <x:v>Physics roster</x:v>
      </x:c>
    </x:row>
    <x:row r="350" ht="36" customHeight="1">
      <x:c r="A350" s="29" t="str">
        <x:v>Physics</x:v>
      </x:c>
      <x:c r="B350" s="33" t="str">
        <x:v>Theodor W. Hänsch</x:v>
      </x:c>
      <x:c r="C350" s="35" t="n">
        <x:v>2005</x:v>
      </x:c>
      <x:c r="D350" s="36" t="str">
        <x:v>2005</x:v>
      </x:c>
      <x:c r="E350" s="36" t="str">
        <x:v>Person</x:v>
      </x:c>
      <x:c r="F350" s="37" t="str">
        <x:v>Not established here</x:v>
      </x:c>
      <x:c r="G350" s="33" t="str">
        <x:v>Not included in this affirmative shortlist. This is not a finding of non-genius.</x:v>
      </x:c>
      <x:c r="H350" s="29" t="str">
        <x:v>Physics roster</x:v>
      </x:c>
    </x:row>
    <x:row r="351" ht="36" customHeight="1">
      <x:c r="A351" s="29" t="str">
        <x:v>Physics</x:v>
      </x:c>
      <x:c r="B351" s="33" t="str">
        <x:v>George Smoot</x:v>
      </x:c>
      <x:c r="C351" s="35" t="n">
        <x:v>2006</x:v>
      </x:c>
      <x:c r="D351" s="36" t="str">
        <x:v>2006</x:v>
      </x:c>
      <x:c r="E351" s="36" t="str">
        <x:v>Person</x:v>
      </x:c>
      <x:c r="F351" s="37" t="str">
        <x:v>Not established here</x:v>
      </x:c>
      <x:c r="G351" s="33" t="str">
        <x:v>Not included in this affirmative shortlist. This is not a finding of non-genius.</x:v>
      </x:c>
      <x:c r="H351" s="29" t="str">
        <x:v>Physics roster</x:v>
      </x:c>
    </x:row>
    <x:row r="352" ht="36" customHeight="1">
      <x:c r="A352" s="29" t="str">
        <x:v>Physics</x:v>
      </x:c>
      <x:c r="B352" s="33" t="str">
        <x:v>John C. Mather</x:v>
      </x:c>
      <x:c r="C352" s="35" t="n">
        <x:v>2006</x:v>
      </x:c>
      <x:c r="D352" s="36" t="str">
        <x:v>2006</x:v>
      </x:c>
      <x:c r="E352" s="36" t="str">
        <x:v>Person</x:v>
      </x:c>
      <x:c r="F352" s="37" t="str">
        <x:v>Not established here</x:v>
      </x:c>
      <x:c r="G352" s="33" t="str">
        <x:v>Not included in this affirmative shortlist. This is not a finding of non-genius.</x:v>
      </x:c>
      <x:c r="H352" s="29" t="str">
        <x:v>Physics roster</x:v>
      </x:c>
    </x:row>
    <x:row r="353" ht="36" customHeight="1">
      <x:c r="A353" s="29" t="str">
        <x:v>Physics</x:v>
      </x:c>
      <x:c r="B353" s="33" t="str">
        <x:v>Albert Fert</x:v>
      </x:c>
      <x:c r="C353" s="35" t="n">
        <x:v>2007</x:v>
      </x:c>
      <x:c r="D353" s="36" t="str">
        <x:v>2007</x:v>
      </x:c>
      <x:c r="E353" s="36" t="str">
        <x:v>Person</x:v>
      </x:c>
      <x:c r="F353" s="37" t="str">
        <x:v>Not established here</x:v>
      </x:c>
      <x:c r="G353" s="33" t="str">
        <x:v>Not included in this affirmative shortlist. This is not a finding of non-genius.</x:v>
      </x:c>
      <x:c r="H353" s="29" t="str">
        <x:v>Physics roster</x:v>
      </x:c>
    </x:row>
    <x:row r="354" ht="36" customHeight="1">
      <x:c r="A354" s="29" t="str">
        <x:v>Physics</x:v>
      </x:c>
      <x:c r="B354" s="33" t="str">
        <x:v>Peter Grünberg</x:v>
      </x:c>
      <x:c r="C354" s="35" t="n">
        <x:v>2007</x:v>
      </x:c>
      <x:c r="D354" s="36" t="str">
        <x:v>2007</x:v>
      </x:c>
      <x:c r="E354" s="36" t="str">
        <x:v>Person</x:v>
      </x:c>
      <x:c r="F354" s="37" t="str">
        <x:v>Not established here</x:v>
      </x:c>
      <x:c r="G354" s="33" t="str">
        <x:v>Not included in this affirmative shortlist. This is not a finding of non-genius.</x:v>
      </x:c>
      <x:c r="H354" s="29" t="str">
        <x:v>Physics roster</x:v>
      </x:c>
    </x:row>
    <x:row r="355" ht="36" customHeight="1">
      <x:c r="A355" s="29" t="str">
        <x:v>Physics</x:v>
      </x:c>
      <x:c r="B355" s="33" t="str">
        <x:v>Makoto Kobayashi</x:v>
      </x:c>
      <x:c r="C355" s="35" t="n">
        <x:v>2008</x:v>
      </x:c>
      <x:c r="D355" s="36" t="str">
        <x:v>2008</x:v>
      </x:c>
      <x:c r="E355" s="36" t="str">
        <x:v>Person</x:v>
      </x:c>
      <x:c r="F355" s="37" t="str">
        <x:v>Not established here</x:v>
      </x:c>
      <x:c r="G355" s="33" t="str">
        <x:v>Not included in this affirmative shortlist. This is not a finding of non-genius.</x:v>
      </x:c>
      <x:c r="H355" s="29" t="str">
        <x:v>Physics roster</x:v>
      </x:c>
    </x:row>
    <x:row r="356" ht="36" customHeight="1">
      <x:c r="A356" s="29" t="str">
        <x:v>Physics</x:v>
      </x:c>
      <x:c r="B356" s="33" t="str">
        <x:v>Toshihide Maskawa</x:v>
      </x:c>
      <x:c r="C356" s="35" t="n">
        <x:v>2008</x:v>
      </x:c>
      <x:c r="D356" s="36" t="str">
        <x:v>2008</x:v>
      </x:c>
      <x:c r="E356" s="36" t="str">
        <x:v>Person</x:v>
      </x:c>
      <x:c r="F356" s="37" t="str">
        <x:v>Not established here</x:v>
      </x:c>
      <x:c r="G356" s="33" t="str">
        <x:v>Not included in this affirmative shortlist. This is not a finding of non-genius.</x:v>
      </x:c>
      <x:c r="H356" s="29" t="str">
        <x:v>Physics roster</x:v>
      </x:c>
    </x:row>
    <x:row r="357" ht="36" customHeight="1">
      <x:c r="A357" s="29" t="str">
        <x:v>Physics</x:v>
      </x:c>
      <x:c r="B357" s="33" t="str">
        <x:v>Yoichiro Nambu</x:v>
      </x:c>
      <x:c r="C357" s="35" t="n">
        <x:v>2008</x:v>
      </x:c>
      <x:c r="D357" s="36" t="str">
        <x:v>2008</x:v>
      </x:c>
      <x:c r="E357" s="36" t="str">
        <x:v>Person</x:v>
      </x:c>
      <x:c r="F357" s="37" t="str">
        <x:v>Clear</x:v>
      </x:c>
      <x:c r="G357" s="33" t="str">
        <x:v>Symmetry breaking and several independent foundational ideas.</x:v>
      </x:c>
      <x:c r="H357" s="29" t="str">
        <x:v>Physics roster</x:v>
      </x:c>
    </x:row>
    <x:row r="358" ht="36" customHeight="1">
      <x:c r="A358" s="29" t="str">
        <x:v>Physics</x:v>
      </x:c>
      <x:c r="B358" s="33" t="str">
        <x:v>Charles Kao</x:v>
      </x:c>
      <x:c r="C358" s="35" t="n">
        <x:v>2009</x:v>
      </x:c>
      <x:c r="D358" s="36" t="str">
        <x:v>2009</x:v>
      </x:c>
      <x:c r="E358" s="36" t="str">
        <x:v>Person</x:v>
      </x:c>
      <x:c r="F358" s="37" t="str">
        <x:v>Not established here</x:v>
      </x:c>
      <x:c r="G358" s="33" t="str">
        <x:v>Not included in this affirmative shortlist. This is not a finding of non-genius.</x:v>
      </x:c>
      <x:c r="H358" s="29" t="str">
        <x:v>Physics roster</x:v>
      </x:c>
    </x:row>
    <x:row r="359" ht="36" customHeight="1">
      <x:c r="A359" s="29" t="str">
        <x:v>Physics</x:v>
      </x:c>
      <x:c r="B359" s="33" t="str">
        <x:v>George E. Smith</x:v>
      </x:c>
      <x:c r="C359" s="35" t="n">
        <x:v>2009</x:v>
      </x:c>
      <x:c r="D359" s="36" t="str">
        <x:v>2009</x:v>
      </x:c>
      <x:c r="E359" s="36" t="str">
        <x:v>Person</x:v>
      </x:c>
      <x:c r="F359" s="37" t="str">
        <x:v>Not established here</x:v>
      </x:c>
      <x:c r="G359" s="33" t="str">
        <x:v>Not included in this affirmative shortlist. This is not a finding of non-genius.</x:v>
      </x:c>
      <x:c r="H359" s="29" t="str">
        <x:v>Physics roster</x:v>
      </x:c>
    </x:row>
    <x:row r="360" ht="36" customHeight="1">
      <x:c r="A360" s="29" t="str">
        <x:v>Physics</x:v>
      </x:c>
      <x:c r="B360" s="33" t="str">
        <x:v>Willard Boyle</x:v>
      </x:c>
      <x:c r="C360" s="35" t="n">
        <x:v>2009</x:v>
      </x:c>
      <x:c r="D360" s="36" t="str">
        <x:v>2009</x:v>
      </x:c>
      <x:c r="E360" s="36" t="str">
        <x:v>Person</x:v>
      </x:c>
      <x:c r="F360" s="37" t="str">
        <x:v>Not established here</x:v>
      </x:c>
      <x:c r="G360" s="33" t="str">
        <x:v>Not included in this affirmative shortlist. This is not a finding of non-genius.</x:v>
      </x:c>
      <x:c r="H360" s="29" t="str">
        <x:v>Physics roster</x:v>
      </x:c>
    </x:row>
    <x:row r="361" ht="36" customHeight="1">
      <x:c r="A361" s="29" t="str">
        <x:v>Physics</x:v>
      </x:c>
      <x:c r="B361" s="33" t="str">
        <x:v>Andre Geim</x:v>
      </x:c>
      <x:c r="C361" s="35" t="n">
        <x:v>2010</x:v>
      </x:c>
      <x:c r="D361" s="36" t="str">
        <x:v>2010</x:v>
      </x:c>
      <x:c r="E361" s="36" t="str">
        <x:v>Person</x:v>
      </x:c>
      <x:c r="F361" s="37" t="str">
        <x:v>Borderline</x:v>
      </x:c>
      <x:c r="G361" s="33" t="str">
        <x:v>Strong case for exceptional originality, but I am less certain of equivalence to the user's very high benchmark.</x:v>
      </x:c>
      <x:c r="H361" s="29" t="str">
        <x:v>Physics roster</x:v>
      </x:c>
    </x:row>
    <x:row r="362" ht="36" customHeight="1">
      <x:c r="A362" s="29" t="str">
        <x:v>Physics</x:v>
      </x:c>
      <x:c r="B362" s="33" t="str">
        <x:v>Konstantin Novoselov</x:v>
      </x:c>
      <x:c r="C362" s="35" t="n">
        <x:v>2010</x:v>
      </x:c>
      <x:c r="D362" s="36" t="str">
        <x:v>2010</x:v>
      </x:c>
      <x:c r="E362" s="36" t="str">
        <x:v>Person</x:v>
      </x:c>
      <x:c r="F362" s="37" t="str">
        <x:v>Not established here</x:v>
      </x:c>
      <x:c r="G362" s="33" t="str">
        <x:v>Not included in this affirmative shortlist. This is not a finding of non-genius.</x:v>
      </x:c>
      <x:c r="H362" s="29" t="str">
        <x:v>Physics roster</x:v>
      </x:c>
    </x:row>
    <x:row r="363" ht="36" customHeight="1">
      <x:c r="A363" s="29" t="str">
        <x:v>Physics</x:v>
      </x:c>
      <x:c r="B363" s="33" t="str">
        <x:v>Adam Riess</x:v>
      </x:c>
      <x:c r="C363" s="35" t="n">
        <x:v>2011</x:v>
      </x:c>
      <x:c r="D363" s="36" t="str">
        <x:v>2011</x:v>
      </x:c>
      <x:c r="E363" s="36" t="str">
        <x:v>Person</x:v>
      </x:c>
      <x:c r="F363" s="37" t="str">
        <x:v>Not established here</x:v>
      </x:c>
      <x:c r="G363" s="33" t="str">
        <x:v>Not included in this affirmative shortlist. This is not a finding of non-genius.</x:v>
      </x:c>
      <x:c r="H363" s="29" t="str">
        <x:v>Physics roster</x:v>
      </x:c>
    </x:row>
    <x:row r="364" ht="36" customHeight="1">
      <x:c r="A364" s="29" t="str">
        <x:v>Physics</x:v>
      </x:c>
      <x:c r="B364" s="33" t="str">
        <x:v>Brian Schmidt</x:v>
      </x:c>
      <x:c r="C364" s="35" t="n">
        <x:v>2011</x:v>
      </x:c>
      <x:c r="D364" s="36" t="str">
        <x:v>2011</x:v>
      </x:c>
      <x:c r="E364" s="36" t="str">
        <x:v>Person</x:v>
      </x:c>
      <x:c r="F364" s="37" t="str">
        <x:v>Not established here</x:v>
      </x:c>
      <x:c r="G364" s="33" t="str">
        <x:v>Not included in this affirmative shortlist. This is not a finding of non-genius.</x:v>
      </x:c>
      <x:c r="H364" s="29" t="str">
        <x:v>Physics roster</x:v>
      </x:c>
    </x:row>
    <x:row r="365" ht="36" customHeight="1">
      <x:c r="A365" s="29" t="str">
        <x:v>Physics</x:v>
      </x:c>
      <x:c r="B365" s="33" t="str">
        <x:v>Saul Perlmutter</x:v>
      </x:c>
      <x:c r="C365" s="35" t="n">
        <x:v>2011</x:v>
      </x:c>
      <x:c r="D365" s="36" t="str">
        <x:v>2011</x:v>
      </x:c>
      <x:c r="E365" s="36" t="str">
        <x:v>Person</x:v>
      </x:c>
      <x:c r="F365" s="37" t="str">
        <x:v>Not established here</x:v>
      </x:c>
      <x:c r="G365" s="33" t="str">
        <x:v>Not included in this affirmative shortlist. This is not a finding of non-genius.</x:v>
      </x:c>
      <x:c r="H365" s="29" t="str">
        <x:v>Physics roster</x:v>
      </x:c>
    </x:row>
    <x:row r="366" ht="36" customHeight="1">
      <x:c r="A366" s="29" t="str">
        <x:v>Physics</x:v>
      </x:c>
      <x:c r="B366" s="33" t="str">
        <x:v>David J. Wineland</x:v>
      </x:c>
      <x:c r="C366" s="35" t="n">
        <x:v>2012</x:v>
      </x:c>
      <x:c r="D366" s="36" t="str">
        <x:v>2012</x:v>
      </x:c>
      <x:c r="E366" s="36" t="str">
        <x:v>Person</x:v>
      </x:c>
      <x:c r="F366" s="37" t="str">
        <x:v>Not established here</x:v>
      </x:c>
      <x:c r="G366" s="33" t="str">
        <x:v>Not included in this affirmative shortlist. This is not a finding of non-genius.</x:v>
      </x:c>
      <x:c r="H366" s="29" t="str">
        <x:v>Physics roster</x:v>
      </x:c>
    </x:row>
    <x:row r="367" ht="36" customHeight="1">
      <x:c r="A367" s="29" t="str">
        <x:v>Physics</x:v>
      </x:c>
      <x:c r="B367" s="33" t="str">
        <x:v>Serge Haroche</x:v>
      </x:c>
      <x:c r="C367" s="35" t="n">
        <x:v>2012</x:v>
      </x:c>
      <x:c r="D367" s="36" t="str">
        <x:v>2012</x:v>
      </x:c>
      <x:c r="E367" s="36" t="str">
        <x:v>Person</x:v>
      </x:c>
      <x:c r="F367" s="37" t="str">
        <x:v>Borderline</x:v>
      </x:c>
      <x:c r="G367" s="33" t="str">
        <x:v>Strong case for exceptional originality, but I am less certain of equivalence to the user's very high benchmark.</x:v>
      </x:c>
      <x:c r="H367" s="29" t="str">
        <x:v>Physics roster</x:v>
      </x:c>
    </x:row>
    <x:row r="368" ht="36" customHeight="1">
      <x:c r="A368" s="29" t="str">
        <x:v>Physics</x:v>
      </x:c>
      <x:c r="B368" s="33" t="str">
        <x:v>François Englert</x:v>
      </x:c>
      <x:c r="C368" s="35" t="n">
        <x:v>2013</x:v>
      </x:c>
      <x:c r="D368" s="36" t="str">
        <x:v>2013</x:v>
      </x:c>
      <x:c r="E368" s="36" t="str">
        <x:v>Person</x:v>
      </x:c>
      <x:c r="F368" s="37" t="str">
        <x:v>Borderline</x:v>
      </x:c>
      <x:c r="G368" s="33" t="str">
        <x:v>Strong case for exceptional originality, but I am less certain of equivalence to the user's very high benchmark.</x:v>
      </x:c>
      <x:c r="H368" s="29" t="str">
        <x:v>Physics roster</x:v>
      </x:c>
    </x:row>
    <x:row r="369" ht="36" customHeight="1">
      <x:c r="A369" s="29" t="str">
        <x:v>Physics</x:v>
      </x:c>
      <x:c r="B369" s="33" t="str">
        <x:v>Peter Higgs</x:v>
      </x:c>
      <x:c r="C369" s="35" t="n">
        <x:v>2013</x:v>
      </x:c>
      <x:c r="D369" s="36" t="str">
        <x:v>2013</x:v>
      </x:c>
      <x:c r="E369" s="36" t="str">
        <x:v>Person</x:v>
      </x:c>
      <x:c r="F369" s="37" t="str">
        <x:v>Borderline</x:v>
      </x:c>
      <x:c r="G369" s="33" t="str">
        <x:v>Strong case for exceptional originality, but I am less certain of equivalence to the user's very high benchmark.</x:v>
      </x:c>
      <x:c r="H369" s="29" t="str">
        <x:v>Physics roster</x:v>
      </x:c>
    </x:row>
    <x:row r="370" ht="36" customHeight="1">
      <x:c r="A370" s="29" t="str">
        <x:v>Physics</x:v>
      </x:c>
      <x:c r="B370" s="33" t="str">
        <x:v>Hiroshi Amano</x:v>
      </x:c>
      <x:c r="C370" s="35" t="n">
        <x:v>2014</x:v>
      </x:c>
      <x:c r="D370" s="36" t="str">
        <x:v>2014</x:v>
      </x:c>
      <x:c r="E370" s="36" t="str">
        <x:v>Person</x:v>
      </x:c>
      <x:c r="F370" s="37" t="str">
        <x:v>Not established here</x:v>
      </x:c>
      <x:c r="G370" s="33" t="str">
        <x:v>Not included in this affirmative shortlist. This is not a finding of non-genius.</x:v>
      </x:c>
      <x:c r="H370" s="29" t="str">
        <x:v>Physics roster</x:v>
      </x:c>
    </x:row>
    <x:row r="371" ht="36" customHeight="1">
      <x:c r="A371" s="29" t="str">
        <x:v>Physics</x:v>
      </x:c>
      <x:c r="B371" s="33" t="str">
        <x:v>Isamu Akasaki</x:v>
      </x:c>
      <x:c r="C371" s="35" t="n">
        <x:v>2014</x:v>
      </x:c>
      <x:c r="D371" s="36" t="str">
        <x:v>2014</x:v>
      </x:c>
      <x:c r="E371" s="36" t="str">
        <x:v>Person</x:v>
      </x:c>
      <x:c r="F371" s="37" t="str">
        <x:v>Not established here</x:v>
      </x:c>
      <x:c r="G371" s="33" t="str">
        <x:v>Not included in this affirmative shortlist. This is not a finding of non-genius.</x:v>
      </x:c>
      <x:c r="H371" s="29" t="str">
        <x:v>Physics roster</x:v>
      </x:c>
    </x:row>
    <x:row r="372" ht="36" customHeight="1">
      <x:c r="A372" s="29" t="str">
        <x:v>Physics</x:v>
      </x:c>
      <x:c r="B372" s="33" t="str">
        <x:v>Shuji Nakamura</x:v>
      </x:c>
      <x:c r="C372" s="35" t="n">
        <x:v>2014</x:v>
      </x:c>
      <x:c r="D372" s="36" t="str">
        <x:v>2014</x:v>
      </x:c>
      <x:c r="E372" s="36" t="str">
        <x:v>Person</x:v>
      </x:c>
      <x:c r="F372" s="37" t="str">
        <x:v>Not established here</x:v>
      </x:c>
      <x:c r="G372" s="33" t="str">
        <x:v>Not included in this affirmative shortlist. This is not a finding of non-genius.</x:v>
      </x:c>
      <x:c r="H372" s="29" t="str">
        <x:v>Physics roster</x:v>
      </x:c>
    </x:row>
    <x:row r="373" ht="36" customHeight="1">
      <x:c r="A373" s="29" t="str">
        <x:v>Physics</x:v>
      </x:c>
      <x:c r="B373" s="33" t="str">
        <x:v>Arthur B. McDonald</x:v>
      </x:c>
      <x:c r="C373" s="35" t="n">
        <x:v>2015</x:v>
      </x:c>
      <x:c r="D373" s="36" t="str">
        <x:v>2015</x:v>
      </x:c>
      <x:c r="E373" s="36" t="str">
        <x:v>Person</x:v>
      </x:c>
      <x:c r="F373" s="37" t="str">
        <x:v>Not established here</x:v>
      </x:c>
      <x:c r="G373" s="33" t="str">
        <x:v>Not included in this affirmative shortlist. This is not a finding of non-genius.</x:v>
      </x:c>
      <x:c r="H373" s="29" t="str">
        <x:v>Physics roster</x:v>
      </x:c>
    </x:row>
    <x:row r="374" ht="36" customHeight="1">
      <x:c r="A374" s="29" t="str">
        <x:v>Physics</x:v>
      </x:c>
      <x:c r="B374" s="33" t="str">
        <x:v>Takaaki Kajita</x:v>
      </x:c>
      <x:c r="C374" s="35" t="n">
        <x:v>2015</x:v>
      </x:c>
      <x:c r="D374" s="36" t="str">
        <x:v>2015</x:v>
      </x:c>
      <x:c r="E374" s="36" t="str">
        <x:v>Person</x:v>
      </x:c>
      <x:c r="F374" s="37" t="str">
        <x:v>Not established here</x:v>
      </x:c>
      <x:c r="G374" s="33" t="str">
        <x:v>Not included in this affirmative shortlist. This is not a finding of non-genius.</x:v>
      </x:c>
      <x:c r="H374" s="29" t="str">
        <x:v>Physics roster</x:v>
      </x:c>
    </x:row>
    <x:row r="375" ht="36" customHeight="1">
      <x:c r="A375" s="29" t="str">
        <x:v>Physics</x:v>
      </x:c>
      <x:c r="B375" s="33" t="str">
        <x:v>David Thouless</x:v>
      </x:c>
      <x:c r="C375" s="35" t="n">
        <x:v>2016</x:v>
      </x:c>
      <x:c r="D375" s="36" t="str">
        <x:v>2016</x:v>
      </x:c>
      <x:c r="E375" s="36" t="str">
        <x:v>Person</x:v>
      </x:c>
      <x:c r="F375" s="37" t="str">
        <x:v>Clear</x:v>
      </x:c>
      <x:c r="G375" s="33" t="str">
        <x:v>Profound original theory of topological phases and condensed matter.</x:v>
      </x:c>
      <x:c r="H375" s="29" t="str">
        <x:v>Physics roster</x:v>
      </x:c>
    </x:row>
    <x:row r="376" ht="36" customHeight="1">
      <x:c r="A376" s="29" t="str">
        <x:v>Physics</x:v>
      </x:c>
      <x:c r="B376" s="33" t="str">
        <x:v>Duncan Haldane</x:v>
      </x:c>
      <x:c r="C376" s="35" t="n">
        <x:v>2016</x:v>
      </x:c>
      <x:c r="D376" s="36" t="str">
        <x:v>2016</x:v>
      </x:c>
      <x:c r="E376" s="36" t="str">
        <x:v>Person</x:v>
      </x:c>
      <x:c r="F376" s="37" t="str">
        <x:v>Clear</x:v>
      </x:c>
      <x:c r="G376" s="33" t="str">
        <x:v>Repeated foundational ideas in one-dimensional and topological quantum systems.</x:v>
      </x:c>
      <x:c r="H376" s="29" t="str">
        <x:v>Physics roster</x:v>
      </x:c>
    </x:row>
    <x:row r="377" ht="36" customHeight="1">
      <x:c r="A377" s="29" t="str">
        <x:v>Physics</x:v>
      </x:c>
      <x:c r="B377" s="33" t="str">
        <x:v>J. Michael Kosterlitz</x:v>
      </x:c>
      <x:c r="C377" s="35" t="n">
        <x:v>2016</x:v>
      </x:c>
      <x:c r="D377" s="36" t="str">
        <x:v>2016</x:v>
      </x:c>
      <x:c r="E377" s="36" t="str">
        <x:v>Person</x:v>
      </x:c>
      <x:c r="F377" s="37" t="str">
        <x:v>Not established here</x:v>
      </x:c>
      <x:c r="G377" s="33" t="str">
        <x:v>Not included in this affirmative shortlist. This is not a finding of non-genius.</x:v>
      </x:c>
      <x:c r="H377" s="29" t="str">
        <x:v>Physics roster</x:v>
      </x:c>
    </x:row>
    <x:row r="378" ht="36" customHeight="1">
      <x:c r="A378" s="29" t="str">
        <x:v>Physics</x:v>
      </x:c>
      <x:c r="B378" s="33" t="str">
        <x:v>Barry Barish</x:v>
      </x:c>
      <x:c r="C378" s="35" t="n">
        <x:v>2017</x:v>
      </x:c>
      <x:c r="D378" s="36" t="str">
        <x:v>2017</x:v>
      </x:c>
      <x:c r="E378" s="36" t="str">
        <x:v>Person</x:v>
      </x:c>
      <x:c r="F378" s="37" t="str">
        <x:v>Not established here</x:v>
      </x:c>
      <x:c r="G378" s="33" t="str">
        <x:v>Not included in this affirmative shortlist. This is not a finding of non-genius.</x:v>
      </x:c>
      <x:c r="H378" s="29" t="str">
        <x:v>Physics roster</x:v>
      </x:c>
    </x:row>
    <x:row r="379" ht="36" customHeight="1">
      <x:c r="A379" s="29" t="str">
        <x:v>Physics</x:v>
      </x:c>
      <x:c r="B379" s="33" t="str">
        <x:v>Kip Thorne</x:v>
      </x:c>
      <x:c r="C379" s="35" t="n">
        <x:v>2017</x:v>
      </x:c>
      <x:c r="D379" s="36" t="str">
        <x:v>2017</x:v>
      </x:c>
      <x:c r="E379" s="36" t="str">
        <x:v>Person</x:v>
      </x:c>
      <x:c r="F379" s="37" t="str">
        <x:v>Borderline</x:v>
      </x:c>
      <x:c r="G379" s="33" t="str">
        <x:v>Strong case for exceptional originality, but I am less certain of equivalence to the user's very high benchmark.</x:v>
      </x:c>
      <x:c r="H379" s="29" t="str">
        <x:v>Physics roster</x:v>
      </x:c>
    </x:row>
    <x:row r="380" ht="36" customHeight="1">
      <x:c r="A380" s="29" t="str">
        <x:v>Physics</x:v>
      </x:c>
      <x:c r="B380" s="33" t="str">
        <x:v>Rainer Weiss</x:v>
      </x:c>
      <x:c r="C380" s="35" t="n">
        <x:v>2017</x:v>
      </x:c>
      <x:c r="D380" s="36" t="str">
        <x:v>2017</x:v>
      </x:c>
      <x:c r="E380" s="36" t="str">
        <x:v>Person</x:v>
      </x:c>
      <x:c r="F380" s="37" t="str">
        <x:v>Not established here</x:v>
      </x:c>
      <x:c r="G380" s="33" t="str">
        <x:v>Not included in this affirmative shortlist. This is not a finding of non-genius.</x:v>
      </x:c>
      <x:c r="H380" s="29" t="str">
        <x:v>Physics roster</x:v>
      </x:c>
    </x:row>
    <x:row r="381" ht="36" customHeight="1">
      <x:c r="A381" s="29" t="str">
        <x:v>Physics</x:v>
      </x:c>
      <x:c r="B381" s="33" t="str">
        <x:v>Arthur Ashkin</x:v>
      </x:c>
      <x:c r="C381" s="35" t="n">
        <x:v>2018</x:v>
      </x:c>
      <x:c r="D381" s="36" t="str">
        <x:v>2018</x:v>
      </x:c>
      <x:c r="E381" s="36" t="str">
        <x:v>Person</x:v>
      </x:c>
      <x:c r="F381" s="37" t="str">
        <x:v>Borderline</x:v>
      </x:c>
      <x:c r="G381" s="33" t="str">
        <x:v>Strong case for exceptional originality, but I am less certain of equivalence to the user's very high benchmark.</x:v>
      </x:c>
      <x:c r="H381" s="29" t="str">
        <x:v>Physics roster</x:v>
      </x:c>
    </x:row>
    <x:row r="382" ht="36" customHeight="1">
      <x:c r="A382" s="29" t="str">
        <x:v>Physics</x:v>
      </x:c>
      <x:c r="B382" s="33" t="str">
        <x:v>Donna Strickland</x:v>
      </x:c>
      <x:c r="C382" s="35" t="n">
        <x:v>2018</x:v>
      </x:c>
      <x:c r="D382" s="36" t="str">
        <x:v>2018</x:v>
      </x:c>
      <x:c r="E382" s="36" t="str">
        <x:v>Person</x:v>
      </x:c>
      <x:c r="F382" s="37" t="str">
        <x:v>Not established here</x:v>
      </x:c>
      <x:c r="G382" s="33" t="str">
        <x:v>Not included in this affirmative shortlist. This is not a finding of non-genius.</x:v>
      </x:c>
      <x:c r="H382" s="29" t="str">
        <x:v>Physics roster</x:v>
      </x:c>
    </x:row>
    <x:row r="383" ht="36" customHeight="1">
      <x:c r="A383" s="29" t="str">
        <x:v>Physics</x:v>
      </x:c>
      <x:c r="B383" s="33" t="str">
        <x:v>Gérard Mourou</x:v>
      </x:c>
      <x:c r="C383" s="35" t="n">
        <x:v>2018</x:v>
      </x:c>
      <x:c r="D383" s="36" t="str">
        <x:v>2018</x:v>
      </x:c>
      <x:c r="E383" s="36" t="str">
        <x:v>Person</x:v>
      </x:c>
      <x:c r="F383" s="37" t="str">
        <x:v>Not established here</x:v>
      </x:c>
      <x:c r="G383" s="33" t="str">
        <x:v>Not included in this affirmative shortlist. This is not a finding of non-genius.</x:v>
      </x:c>
      <x:c r="H383" s="29" t="str">
        <x:v>Physics roster</x:v>
      </x:c>
    </x:row>
    <x:row r="384" ht="36" customHeight="1">
      <x:c r="A384" s="29" t="str">
        <x:v>Physics</x:v>
      </x:c>
      <x:c r="B384" s="33" t="str">
        <x:v>Didier Queloz</x:v>
      </x:c>
      <x:c r="C384" s="35" t="n">
        <x:v>2019</x:v>
      </x:c>
      <x:c r="D384" s="36" t="str">
        <x:v>2019</x:v>
      </x:c>
      <x:c r="E384" s="36" t="str">
        <x:v>Person</x:v>
      </x:c>
      <x:c r="F384" s="37" t="str">
        <x:v>Not established here</x:v>
      </x:c>
      <x:c r="G384" s="33" t="str">
        <x:v>Not included in this affirmative shortlist. This is not a finding of non-genius.</x:v>
      </x:c>
      <x:c r="H384" s="29" t="str">
        <x:v>Physics roster</x:v>
      </x:c>
    </x:row>
    <x:row r="385" ht="36" customHeight="1">
      <x:c r="A385" s="29" t="str">
        <x:v>Physics</x:v>
      </x:c>
      <x:c r="B385" s="33" t="str">
        <x:v>Jim Peebles</x:v>
      </x:c>
      <x:c r="C385" s="35" t="n">
        <x:v>2019</x:v>
      </x:c>
      <x:c r="D385" s="36" t="str">
        <x:v>2019</x:v>
      </x:c>
      <x:c r="E385" s="36" t="str">
        <x:v>Person</x:v>
      </x:c>
      <x:c r="F385" s="37" t="str">
        <x:v>Borderline</x:v>
      </x:c>
      <x:c r="G385" s="33" t="str">
        <x:v>Strong original theoretical cosmology, but I am less certain of equivalence to the user's very high benchmark.</x:v>
      </x:c>
      <x:c r="H385" s="29" t="str">
        <x:v>Physics roster</x:v>
      </x:c>
    </x:row>
    <x:row r="386" ht="36" customHeight="1">
      <x:c r="A386" s="29" t="str">
        <x:v>Physics</x:v>
      </x:c>
      <x:c r="B386" s="33" t="str">
        <x:v>Michel Mayor</x:v>
      </x:c>
      <x:c r="C386" s="35" t="n">
        <x:v>2019</x:v>
      </x:c>
      <x:c r="D386" s="36" t="str">
        <x:v>2019</x:v>
      </x:c>
      <x:c r="E386" s="36" t="str">
        <x:v>Person</x:v>
      </x:c>
      <x:c r="F386" s="37" t="str">
        <x:v>Not established here</x:v>
      </x:c>
      <x:c r="G386" s="33" t="str">
        <x:v>Not included in this affirmative shortlist. This is not a finding of non-genius.</x:v>
      </x:c>
      <x:c r="H386" s="29" t="str">
        <x:v>Physics roster</x:v>
      </x:c>
    </x:row>
    <x:row r="387" ht="36" customHeight="1">
      <x:c r="A387" s="29" t="str">
        <x:v>Physics</x:v>
      </x:c>
      <x:c r="B387" s="33" t="str">
        <x:v>Andrea Ghez</x:v>
      </x:c>
      <x:c r="C387" s="35" t="n">
        <x:v>2020</x:v>
      </x:c>
      <x:c r="D387" s="36" t="str">
        <x:v>2020</x:v>
      </x:c>
      <x:c r="E387" s="36" t="str">
        <x:v>Person</x:v>
      </x:c>
      <x:c r="F387" s="37" t="str">
        <x:v>Not established here</x:v>
      </x:c>
      <x:c r="G387" s="33" t="str">
        <x:v>Not included in this affirmative shortlist. This is not a finding of non-genius.</x:v>
      </x:c>
      <x:c r="H387" s="29" t="str">
        <x:v>Physics roster</x:v>
      </x:c>
    </x:row>
    <x:row r="388" ht="36" customHeight="1">
      <x:c r="A388" s="29" t="str">
        <x:v>Physics</x:v>
      </x:c>
      <x:c r="B388" s="33" t="str">
        <x:v>Reinhard Genzel</x:v>
      </x:c>
      <x:c r="C388" s="35" t="n">
        <x:v>2020</x:v>
      </x:c>
      <x:c r="D388" s="36" t="str">
        <x:v>2020</x:v>
      </x:c>
      <x:c r="E388" s="36" t="str">
        <x:v>Person</x:v>
      </x:c>
      <x:c r="F388" s="37" t="str">
        <x:v>Not established here</x:v>
      </x:c>
      <x:c r="G388" s="33" t="str">
        <x:v>Not included in this affirmative shortlist. This is not a finding of non-genius.</x:v>
      </x:c>
      <x:c r="H388" s="29" t="str">
        <x:v>Physics roster</x:v>
      </x:c>
    </x:row>
    <x:row r="389" ht="36" customHeight="1">
      <x:c r="A389" s="29" t="str">
        <x:v>Physics</x:v>
      </x:c>
      <x:c r="B389" s="33" t="str">
        <x:v>Roger Penrose</x:v>
      </x:c>
      <x:c r="C389" s="35" t="n">
        <x:v>2020</x:v>
      </x:c>
      <x:c r="D389" s="36" t="str">
        <x:v>2020</x:v>
      </x:c>
      <x:c r="E389" s="36" t="str">
        <x:v>Person</x:v>
      </x:c>
      <x:c r="F389" s="37" t="str">
        <x:v>Clear</x:v>
      </x:c>
      <x:c r="G389" s="33" t="str">
        <x:v>Singularity theorems, twistor theory and broader mathematical originality.</x:v>
      </x:c>
      <x:c r="H389" s="29" t="str">
        <x:v>Physics roster</x:v>
      </x:c>
    </x:row>
    <x:row r="390" ht="36" customHeight="1">
      <x:c r="A390" s="29" t="str">
        <x:v>Physics</x:v>
      </x:c>
      <x:c r="B390" s="33" t="str">
        <x:v>Giorgio Parisi</x:v>
      </x:c>
      <x:c r="C390" s="35" t="n">
        <x:v>2021</x:v>
      </x:c>
      <x:c r="D390" s="36" t="str">
        <x:v>2021</x:v>
      </x:c>
      <x:c r="E390" s="36" t="str">
        <x:v>Person</x:v>
      </x:c>
      <x:c r="F390" s="37" t="str">
        <x:v>Clear</x:v>
      </x:c>
      <x:c r="G390" s="33" t="str">
        <x:v>Replica symmetry breaking and broad statistical-physics originality.</x:v>
      </x:c>
      <x:c r="H390" s="29" t="str">
        <x:v>Physics roster</x:v>
      </x:c>
    </x:row>
    <x:row r="391" ht="36" customHeight="1">
      <x:c r="A391" s="29" t="str">
        <x:v>Physics</x:v>
      </x:c>
      <x:c r="B391" s="33" t="str">
        <x:v>Klaus Hasselmann</x:v>
      </x:c>
      <x:c r="C391" s="35" t="n">
        <x:v>2021</x:v>
      </x:c>
      <x:c r="D391" s="36" t="str">
        <x:v>2021</x:v>
      </x:c>
      <x:c r="E391" s="36" t="str">
        <x:v>Person</x:v>
      </x:c>
      <x:c r="F391" s="37" t="str">
        <x:v>Borderline</x:v>
      </x:c>
      <x:c r="G391" s="33" t="str">
        <x:v>Strong case for exceptional originality, but I am less certain of equivalence to the user's very high benchmark.</x:v>
      </x:c>
      <x:c r="H391" s="29" t="str">
        <x:v>Physics roster</x:v>
      </x:c>
    </x:row>
    <x:row r="392" ht="36" customHeight="1">
      <x:c r="A392" s="29" t="str">
        <x:v>Physics</x:v>
      </x:c>
      <x:c r="B392" s="33" t="str">
        <x:v>Syukuro Manabe</x:v>
      </x:c>
      <x:c r="C392" s="35" t="n">
        <x:v>2021</x:v>
      </x:c>
      <x:c r="D392" s="36" t="str">
        <x:v>2021</x:v>
      </x:c>
      <x:c r="E392" s="36" t="str">
        <x:v>Person</x:v>
      </x:c>
      <x:c r="F392" s="37" t="str">
        <x:v>Borderline</x:v>
      </x:c>
      <x:c r="G392" s="33" t="str">
        <x:v>Strong case for exceptional originality, but I am less certain of equivalence to the user's very high benchmark.</x:v>
      </x:c>
      <x:c r="H392" s="29" t="str">
        <x:v>Physics roster</x:v>
      </x:c>
    </x:row>
    <x:row r="393" ht="36" customHeight="1">
      <x:c r="A393" s="29" t="str">
        <x:v>Physics</x:v>
      </x:c>
      <x:c r="B393" s="33" t="str">
        <x:v>Alain Aspect</x:v>
      </x:c>
      <x:c r="C393" s="35" t="n">
        <x:v>2022</x:v>
      </x:c>
      <x:c r="D393" s="36" t="str">
        <x:v>2022</x:v>
      </x:c>
      <x:c r="E393" s="36" t="str">
        <x:v>Person</x:v>
      </x:c>
      <x:c r="F393" s="37" t="str">
        <x:v>Not established here</x:v>
      </x:c>
      <x:c r="G393" s="33" t="str">
        <x:v>Not included in this affirmative shortlist. This is not a finding of non-genius.</x:v>
      </x:c>
      <x:c r="H393" s="29" t="str">
        <x:v>Physics roster</x:v>
      </x:c>
    </x:row>
    <x:row r="394" ht="36" customHeight="1">
      <x:c r="A394" s="29" t="str">
        <x:v>Physics</x:v>
      </x:c>
      <x:c r="B394" s="33" t="str">
        <x:v>Anton Zeilinger</x:v>
      </x:c>
      <x:c r="C394" s="35" t="n">
        <x:v>2022</x:v>
      </x:c>
      <x:c r="D394" s="36" t="str">
        <x:v>2022</x:v>
      </x:c>
      <x:c r="E394" s="36" t="str">
        <x:v>Person</x:v>
      </x:c>
      <x:c r="F394" s="37" t="str">
        <x:v>Borderline</x:v>
      </x:c>
      <x:c r="G394" s="33" t="str">
        <x:v>Strong case for exceptional originality, but I am less certain of equivalence to the user's very high benchmark.</x:v>
      </x:c>
      <x:c r="H394" s="29" t="str">
        <x:v>Physics roster</x:v>
      </x:c>
    </x:row>
    <x:row r="395" ht="36" customHeight="1">
      <x:c r="A395" s="29" t="str">
        <x:v>Physics</x:v>
      </x:c>
      <x:c r="B395" s="33" t="str">
        <x:v>John Clauser</x:v>
      </x:c>
      <x:c r="C395" s="35" t="n">
        <x:v>2022</x:v>
      </x:c>
      <x:c r="D395" s="36" t="str">
        <x:v>2022</x:v>
      </x:c>
      <x:c r="E395" s="36" t="str">
        <x:v>Person</x:v>
      </x:c>
      <x:c r="F395" s="37" t="str">
        <x:v>Not established here</x:v>
      </x:c>
      <x:c r="G395" s="33" t="str">
        <x:v>Not included in this affirmative shortlist. This is not a finding of non-genius.</x:v>
      </x:c>
      <x:c r="H395" s="29" t="str">
        <x:v>Physics roster</x:v>
      </x:c>
    </x:row>
    <x:row r="396" ht="36" customHeight="1">
      <x:c r="A396" s="29" t="str">
        <x:v>Physics</x:v>
      </x:c>
      <x:c r="B396" s="33" t="str">
        <x:v>Anne L'Huillier</x:v>
      </x:c>
      <x:c r="C396" s="35" t="n">
        <x:v>2023</x:v>
      </x:c>
      <x:c r="D396" s="36" t="str">
        <x:v>2023</x:v>
      </x:c>
      <x:c r="E396" s="36" t="str">
        <x:v>Person</x:v>
      </x:c>
      <x:c r="F396" s="37" t="str">
        <x:v>Not established here</x:v>
      </x:c>
      <x:c r="G396" s="33" t="str">
        <x:v>Not included in this affirmative shortlist. This is not a finding of non-genius.</x:v>
      </x:c>
      <x:c r="H396" s="29" t="str">
        <x:v>Physics roster</x:v>
      </x:c>
    </x:row>
    <x:row r="397" ht="36" customHeight="1">
      <x:c r="A397" s="29" t="str">
        <x:v>Physics</x:v>
      </x:c>
      <x:c r="B397" s="33" t="str">
        <x:v>Ferenc Krausz</x:v>
      </x:c>
      <x:c r="C397" s="35" t="n">
        <x:v>2023</x:v>
      </x:c>
      <x:c r="D397" s="36" t="str">
        <x:v>2023</x:v>
      </x:c>
      <x:c r="E397" s="36" t="str">
        <x:v>Person</x:v>
      </x:c>
      <x:c r="F397" s="37" t="str">
        <x:v>Not established here</x:v>
      </x:c>
      <x:c r="G397" s="33" t="str">
        <x:v>Not included in this affirmative shortlist. This is not a finding of non-genius.</x:v>
      </x:c>
      <x:c r="H397" s="29" t="str">
        <x:v>Physics roster</x:v>
      </x:c>
    </x:row>
    <x:row r="398" ht="36" customHeight="1">
      <x:c r="A398" s="29" t="str">
        <x:v>Physics</x:v>
      </x:c>
      <x:c r="B398" s="33" t="str">
        <x:v>Pierre Agostini</x:v>
      </x:c>
      <x:c r="C398" s="35" t="n">
        <x:v>2023</x:v>
      </x:c>
      <x:c r="D398" s="36" t="str">
        <x:v>2023</x:v>
      </x:c>
      <x:c r="E398" s="36" t="str">
        <x:v>Person</x:v>
      </x:c>
      <x:c r="F398" s="37" t="str">
        <x:v>Not established here</x:v>
      </x:c>
      <x:c r="G398" s="33" t="str">
        <x:v>Not included in this affirmative shortlist. This is not a finding of non-genius.</x:v>
      </x:c>
      <x:c r="H398" s="29" t="str">
        <x:v>Physics roster</x:v>
      </x:c>
    </x:row>
    <x:row r="399" ht="36" customHeight="1">
      <x:c r="A399" s="29" t="str">
        <x:v>Physics</x:v>
      </x:c>
      <x:c r="B399" s="33" t="str">
        <x:v>Geoffrey Hinton</x:v>
      </x:c>
      <x:c r="C399" s="35" t="n">
        <x:v>2024</x:v>
      </x:c>
      <x:c r="D399" s="36" t="str">
        <x:v>2024</x:v>
      </x:c>
      <x:c r="E399" s="36" t="str">
        <x:v>Person</x:v>
      </x:c>
      <x:c r="F399" s="37" t="str">
        <x:v>Clear</x:v>
      </x:c>
      <x:c r="G399" s="33" t="str">
        <x:v>Repeated foundational ideas in neural computation.</x:v>
      </x:c>
      <x:c r="H399" s="29" t="str">
        <x:v>Physics roster</x:v>
      </x:c>
    </x:row>
    <x:row r="400" ht="36" customHeight="1">
      <x:c r="A400" s="29" t="str">
        <x:v>Physics</x:v>
      </x:c>
      <x:c r="B400" s="33" t="str">
        <x:v>John Hopfield</x:v>
      </x:c>
      <x:c r="C400" s="35" t="n">
        <x:v>2024</x:v>
      </x:c>
      <x:c r="D400" s="36" t="str">
        <x:v>2024</x:v>
      </x:c>
      <x:c r="E400" s="36" t="str">
        <x:v>Person</x:v>
      </x:c>
      <x:c r="F400" s="37" t="str">
        <x:v>Clear</x:v>
      </x:c>
      <x:c r="G400" s="33" t="str">
        <x:v>Associative neural networks and kinetic proofreading.</x:v>
      </x:c>
      <x:c r="H400" s="29" t="str">
        <x:v>Physics roster</x:v>
      </x:c>
    </x:row>
    <x:row r="401" ht="36" customHeight="1">
      <x:c r="A401" s="29" t="str">
        <x:v>Physics</x:v>
      </x:c>
      <x:c r="B401" s="33" t="str">
        <x:v>John Clarke</x:v>
      </x:c>
      <x:c r="C401" s="35" t="n">
        <x:v>2025</x:v>
      </x:c>
      <x:c r="D401" s="36" t="str">
        <x:v>2025</x:v>
      </x:c>
      <x:c r="E401" s="36" t="str">
        <x:v>Person</x:v>
      </x:c>
      <x:c r="F401" s="37" t="str">
        <x:v>Not established here</x:v>
      </x:c>
      <x:c r="G401" s="33" t="str">
        <x:v>Not included in this affirmative shortlist. This is not a finding of non-genius.</x:v>
      </x:c>
      <x:c r="H401" s="29" t="str">
        <x:v>Physics roster</x:v>
      </x:c>
    </x:row>
    <x:row r="402" ht="36" customHeight="1">
      <x:c r="A402" s="29" t="str">
        <x:v>Physics</x:v>
      </x:c>
      <x:c r="B402" s="33" t="str">
        <x:v>John M. Martinis</x:v>
      </x:c>
      <x:c r="C402" s="35" t="n">
        <x:v>2025</x:v>
      </x:c>
      <x:c r="D402" s="36" t="str">
        <x:v>2025</x:v>
      </x:c>
      <x:c r="E402" s="36" t="str">
        <x:v>Person</x:v>
      </x:c>
      <x:c r="F402" s="37" t="str">
        <x:v>Not established here</x:v>
      </x:c>
      <x:c r="G402" s="33" t="str">
        <x:v>Not included in this affirmative shortlist. This is not a finding of non-genius.</x:v>
      </x:c>
      <x:c r="H402" s="29" t="str">
        <x:v>Physics roster</x:v>
      </x:c>
    </x:row>
    <x:row r="403" ht="36" customHeight="1">
      <x:c r="A403" s="29" t="str">
        <x:v>Physics</x:v>
      </x:c>
      <x:c r="B403" s="33" t="str">
        <x:v>Michel Devoret</x:v>
      </x:c>
      <x:c r="C403" s="35" t="n">
        <x:v>2025</x:v>
      </x:c>
      <x:c r="D403" s="36" t="str">
        <x:v>2025</x:v>
      </x:c>
      <x:c r="E403" s="36" t="str">
        <x:v>Person</x:v>
      </x:c>
      <x:c r="F403" s="37" t="str">
        <x:v>Not established here</x:v>
      </x:c>
      <x:c r="G403" s="33" t="str">
        <x:v>Not included in this affirmative shortlist. This is not a finding of non-genius.</x:v>
      </x:c>
      <x:c r="H403" s="29" t="str">
        <x:v>Physics roster</x:v>
      </x:c>
    </x:row>
    <x:row r="404" ht="36" customHeight="1">
      <x:c r="A404" s="29" t="str">
        <x:v>Chemistry</x:v>
      </x:c>
      <x:c r="B404" s="33" t="str">
        <x:v>Jacobus Henricus van 't Hoff</x:v>
      </x:c>
      <x:c r="C404" s="35" t="n">
        <x:v>1901</x:v>
      </x:c>
      <x:c r="D404" s="36" t="str">
        <x:v>1901</x:v>
      </x:c>
      <x:c r="E404" s="36" t="str">
        <x:v>Person</x:v>
      </x:c>
      <x:c r="F404" s="37" t="str">
        <x:v>Clear</x:v>
      </x:c>
      <x:c r="G404" s="33" t="str">
        <x:v>Stereochemistry and foundational physical chemistry.</x:v>
      </x:c>
      <x:c r="H404" s="29" t="str">
        <x:v>Chemistry roster</x:v>
      </x:c>
    </x:row>
    <x:row r="405" ht="36" customHeight="1">
      <x:c r="A405" s="29" t="str">
        <x:v>Chemistry</x:v>
      </x:c>
      <x:c r="B405" s="33" t="str">
        <x:v>Hermann Emil Fischer</x:v>
      </x:c>
      <x:c r="C405" s="35" t="n">
        <x:v>1902</x:v>
      </x:c>
      <x:c r="D405" s="36" t="str">
        <x:v>1902</x:v>
      </x:c>
      <x:c r="E405" s="36" t="str">
        <x:v>Person</x:v>
      </x:c>
      <x:c r="F405" s="37" t="str">
        <x:v>Clear</x:v>
      </x:c>
      <x:c r="G405" s="33" t="str">
        <x:v>Foundational structural and synthetic organic chemistry.</x:v>
      </x:c>
      <x:c r="H405" s="29" t="str">
        <x:v>Chemistry roster</x:v>
      </x:c>
    </x:row>
    <x:row r="406" ht="36" customHeight="1">
      <x:c r="A406" s="29" t="str">
        <x:v>Chemistry</x:v>
      </x:c>
      <x:c r="B406" s="33" t="str">
        <x:v>Svante Arrhenius</x:v>
      </x:c>
      <x:c r="C406" s="35" t="n">
        <x:v>1903</x:v>
      </x:c>
      <x:c r="D406" s="36" t="str">
        <x:v>1903</x:v>
      </x:c>
      <x:c r="E406" s="36" t="str">
        <x:v>Person</x:v>
      </x:c>
      <x:c r="F406" s="37" t="str">
        <x:v>Clear</x:v>
      </x:c>
      <x:c r="G406" s="33" t="str">
        <x:v>Electrolytic dissociation and broad original physical chemistry.</x:v>
      </x:c>
      <x:c r="H406" s="29" t="str">
        <x:v>Chemistry roster</x:v>
      </x:c>
    </x:row>
    <x:row r="407" ht="36" customHeight="1">
      <x:c r="A407" s="29" t="str">
        <x:v>Chemistry</x:v>
      </x:c>
      <x:c r="B407" s="33" t="str">
        <x:v>William Ramsay</x:v>
      </x:c>
      <x:c r="C407" s="35" t="n">
        <x:v>1904</x:v>
      </x:c>
      <x:c r="D407" s="36" t="str">
        <x:v>1904</x:v>
      </x:c>
      <x:c r="E407" s="36" t="str">
        <x:v>Person</x:v>
      </x:c>
      <x:c r="F407" s="37" t="str">
        <x:v>Borderline</x:v>
      </x:c>
      <x:c r="G407" s="33" t="str">
        <x:v>Strong case for exceptional originality, but I am less certain of equivalence to the user's very high benchmark.</x:v>
      </x:c>
      <x:c r="H407" s="29" t="str">
        <x:v>Chemistry roster</x:v>
      </x:c>
    </x:row>
    <x:row r="408" ht="36" customHeight="1">
      <x:c r="A408" s="29" t="str">
        <x:v>Chemistry</x:v>
      </x:c>
      <x:c r="B408" s="33" t="str">
        <x:v>Adolf von Baeyer</x:v>
      </x:c>
      <x:c r="C408" s="35" t="n">
        <x:v>1905</x:v>
      </x:c>
      <x:c r="D408" s="36" t="str">
        <x:v>1905</x:v>
      </x:c>
      <x:c r="E408" s="36" t="str">
        <x:v>Person</x:v>
      </x:c>
      <x:c r="F408" s="37" t="str">
        <x:v>Borderline</x:v>
      </x:c>
      <x:c r="G408" s="33" t="str">
        <x:v>Strong case for exceptional originality, but I am less certain of equivalence to the user's very high benchmark.</x:v>
      </x:c>
      <x:c r="H408" s="29" t="str">
        <x:v>Chemistry roster</x:v>
      </x:c>
    </x:row>
    <x:row r="409" ht="36" customHeight="1">
      <x:c r="A409" s="29" t="str">
        <x:v>Chemistry</x:v>
      </x:c>
      <x:c r="B409" s="33" t="str">
        <x:v>Henri Moissan</x:v>
      </x:c>
      <x:c r="C409" s="35" t="n">
        <x:v>1906</x:v>
      </x:c>
      <x:c r="D409" s="36" t="str">
        <x:v>1906</x:v>
      </x:c>
      <x:c r="E409" s="36" t="str">
        <x:v>Person</x:v>
      </x:c>
      <x:c r="F409" s="37" t="str">
        <x:v>Not established here</x:v>
      </x:c>
      <x:c r="G409" s="33" t="str">
        <x:v>Not included in this affirmative shortlist. This is not a finding of non-genius.</x:v>
      </x:c>
      <x:c r="H409" s="29" t="str">
        <x:v>Chemistry roster</x:v>
      </x:c>
    </x:row>
    <x:row r="410" ht="36" customHeight="1">
      <x:c r="A410" s="29" t="str">
        <x:v>Chemistry</x:v>
      </x:c>
      <x:c r="B410" s="33" t="str">
        <x:v>Eduard Buchner</x:v>
      </x:c>
      <x:c r="C410" s="35" t="n">
        <x:v>1907</x:v>
      </x:c>
      <x:c r="D410" s="36" t="str">
        <x:v>1907</x:v>
      </x:c>
      <x:c r="E410" s="36" t="str">
        <x:v>Person</x:v>
      </x:c>
      <x:c r="F410" s="37" t="str">
        <x:v>Not established here</x:v>
      </x:c>
      <x:c r="G410" s="33" t="str">
        <x:v>Not included in this affirmative shortlist. This is not a finding of non-genius.</x:v>
      </x:c>
      <x:c r="H410" s="29" t="str">
        <x:v>Chemistry roster</x:v>
      </x:c>
    </x:row>
    <x:row r="411" ht="36" customHeight="1">
      <x:c r="A411" s="29" t="str">
        <x:v>Chemistry</x:v>
      </x:c>
      <x:c r="B411" s="33" t="str">
        <x:v>Ernest Rutherford</x:v>
      </x:c>
      <x:c r="C411" s="35" t="n">
        <x:v>1908</x:v>
      </x:c>
      <x:c r="D411" s="36" t="str">
        <x:v>1908</x:v>
      </x:c>
      <x:c r="E411" s="36" t="str">
        <x:v>Person</x:v>
      </x:c>
      <x:c r="F411" s="37" t="str">
        <x:v>Clear</x:v>
      </x:c>
      <x:c r="G411" s="33" t="str">
        <x:v>Created nuclear physics through exceptional experimental reasoning.</x:v>
      </x:c>
      <x:c r="H411" s="29" t="str">
        <x:v>Chemistry roster</x:v>
      </x:c>
    </x:row>
    <x:row r="412" ht="36" customHeight="1">
      <x:c r="A412" s="29" t="str">
        <x:v>Chemistry</x:v>
      </x:c>
      <x:c r="B412" s="33" t="str">
        <x:v>Wilhelm Ostwald</x:v>
      </x:c>
      <x:c r="C412" s="35" t="n">
        <x:v>1909</x:v>
      </x:c>
      <x:c r="D412" s="36" t="str">
        <x:v>1909</x:v>
      </x:c>
      <x:c r="E412" s="36" t="str">
        <x:v>Person</x:v>
      </x:c>
      <x:c r="F412" s="37" t="str">
        <x:v>Borderline</x:v>
      </x:c>
      <x:c r="G412" s="33" t="str">
        <x:v>Strong case for exceptional originality, but I am less certain of equivalence to the user's very high benchmark.</x:v>
      </x:c>
      <x:c r="H412" s="29" t="str">
        <x:v>Chemistry roster</x:v>
      </x:c>
    </x:row>
    <x:row r="413" ht="36" customHeight="1">
      <x:c r="A413" s="29" t="str">
        <x:v>Chemistry</x:v>
      </x:c>
      <x:c r="B413" s="33" t="str">
        <x:v>Otto Wallach</x:v>
      </x:c>
      <x:c r="C413" s="35" t="n">
        <x:v>1910</x:v>
      </x:c>
      <x:c r="D413" s="36" t="str">
        <x:v>1910</x:v>
      </x:c>
      <x:c r="E413" s="36" t="str">
        <x:v>Person</x:v>
      </x:c>
      <x:c r="F413" s="37" t="str">
        <x:v>Not established here</x:v>
      </x:c>
      <x:c r="G413" s="33" t="str">
        <x:v>Not included in this affirmative shortlist. This is not a finding of non-genius.</x:v>
      </x:c>
      <x:c r="H413" s="29" t="str">
        <x:v>Chemistry roster</x:v>
      </x:c>
    </x:row>
    <x:row r="414" ht="36" customHeight="1">
      <x:c r="A414" s="29" t="str">
        <x:v>Chemistry</x:v>
      </x:c>
      <x:c r="B414" s="33" t="str">
        <x:v>Marie Curie</x:v>
      </x:c>
      <x:c r="C414" s="35" t="n">
        <x:v>1911</x:v>
      </x:c>
      <x:c r="D414" s="36" t="str">
        <x:v>1911</x:v>
      </x:c>
      <x:c r="E414" s="36" t="str">
        <x:v>Person</x:v>
      </x:c>
      <x:c r="F414" s="37" t="str">
        <x:v>Clear</x:v>
      </x:c>
      <x:c r="G414" s="33" t="str">
        <x:v>Created a quantitative science of radioactivity.</x:v>
      </x:c>
      <x:c r="H414" s="29" t="str">
        <x:v>Chemistry roster</x:v>
      </x:c>
    </x:row>
    <x:row r="415" ht="36" customHeight="1">
      <x:c r="A415" s="29" t="str">
        <x:v>Chemistry</x:v>
      </x:c>
      <x:c r="B415" s="33" t="str">
        <x:v>Paul Sabatier</x:v>
      </x:c>
      <x:c r="C415" s="35" t="n">
        <x:v>1912</x:v>
      </x:c>
      <x:c r="D415" s="36" t="str">
        <x:v>1912</x:v>
      </x:c>
      <x:c r="E415" s="36" t="str">
        <x:v>Person</x:v>
      </x:c>
      <x:c r="F415" s="37" t="str">
        <x:v>Not established here</x:v>
      </x:c>
      <x:c r="G415" s="33" t="str">
        <x:v>Not included in this affirmative shortlist. This is not a finding of non-genius.</x:v>
      </x:c>
      <x:c r="H415" s="29" t="str">
        <x:v>Chemistry roster</x:v>
      </x:c>
    </x:row>
    <x:row r="416" ht="36" customHeight="1">
      <x:c r="A416" s="29" t="str">
        <x:v>Chemistry</x:v>
      </x:c>
      <x:c r="B416" s="33" t="str">
        <x:v>Victor Grignard</x:v>
      </x:c>
      <x:c r="C416" s="35" t="n">
        <x:v>1912</x:v>
      </x:c>
      <x:c r="D416" s="36" t="str">
        <x:v>1912</x:v>
      </x:c>
      <x:c r="E416" s="36" t="str">
        <x:v>Person</x:v>
      </x:c>
      <x:c r="F416" s="37" t="str">
        <x:v>Not established here</x:v>
      </x:c>
      <x:c r="G416" s="33" t="str">
        <x:v>Not included in this affirmative shortlist. This is not a finding of non-genius.</x:v>
      </x:c>
      <x:c r="H416" s="29" t="str">
        <x:v>Chemistry roster</x:v>
      </x:c>
    </x:row>
    <x:row r="417" ht="36" customHeight="1">
      <x:c r="A417" s="29" t="str">
        <x:v>Chemistry</x:v>
      </x:c>
      <x:c r="B417" s="33" t="str">
        <x:v>Alfred Werner</x:v>
      </x:c>
      <x:c r="C417" s="35" t="n">
        <x:v>1913</x:v>
      </x:c>
      <x:c r="D417" s="36" t="str">
        <x:v>1913</x:v>
      </x:c>
      <x:c r="E417" s="36" t="str">
        <x:v>Person</x:v>
      </x:c>
      <x:c r="F417" s="37" t="str">
        <x:v>Clear</x:v>
      </x:c>
      <x:c r="G417" s="33" t="str">
        <x:v>Founded coordination chemistry through radical structural reasoning.</x:v>
      </x:c>
      <x:c r="H417" s="29" t="str">
        <x:v>Chemistry roster</x:v>
      </x:c>
    </x:row>
    <x:row r="418" ht="36" customHeight="1">
      <x:c r="A418" s="29" t="str">
        <x:v>Chemistry</x:v>
      </x:c>
      <x:c r="B418" s="33" t="str">
        <x:v>Theodore William Richards</x:v>
      </x:c>
      <x:c r="C418" s="35" t="n">
        <x:v>1914</x:v>
      </x:c>
      <x:c r="D418" s="36" t="str">
        <x:v>1914</x:v>
      </x:c>
      <x:c r="E418" s="36" t="str">
        <x:v>Person</x:v>
      </x:c>
      <x:c r="F418" s="37" t="str">
        <x:v>Not established here</x:v>
      </x:c>
      <x:c r="G418" s="33" t="str">
        <x:v>Not included in this affirmative shortlist. This is not a finding of non-genius.</x:v>
      </x:c>
      <x:c r="H418" s="29" t="str">
        <x:v>Chemistry roster</x:v>
      </x:c>
    </x:row>
    <x:row r="419" ht="36" customHeight="1">
      <x:c r="A419" s="29" t="str">
        <x:v>Chemistry</x:v>
      </x:c>
      <x:c r="B419" s="33" t="str">
        <x:v>Richard Willstätter</x:v>
      </x:c>
      <x:c r="C419" s="35" t="n">
        <x:v>1915</x:v>
      </x:c>
      <x:c r="D419" s="36" t="str">
        <x:v>1915</x:v>
      </x:c>
      <x:c r="E419" s="36" t="str">
        <x:v>Person</x:v>
      </x:c>
      <x:c r="F419" s="37" t="str">
        <x:v>Not established here</x:v>
      </x:c>
      <x:c r="G419" s="33" t="str">
        <x:v>Not included in this affirmative shortlist. This is not a finding of non-genius.</x:v>
      </x:c>
      <x:c r="H419" s="29" t="str">
        <x:v>Chemistry roster</x:v>
      </x:c>
    </x:row>
    <x:row r="420" ht="36" customHeight="1">
      <x:c r="A420" s="29" t="str">
        <x:v>Chemistry</x:v>
      </x:c>
      <x:c r="B420" s="33" t="str">
        <x:v>Fritz Haber</x:v>
      </x:c>
      <x:c r="C420" s="35" t="n">
        <x:v>1918</x:v>
      </x:c>
      <x:c r="D420" s="36" t="str">
        <x:v>1918</x:v>
      </x:c>
      <x:c r="E420" s="36" t="str">
        <x:v>Person</x:v>
      </x:c>
      <x:c r="F420" s="37" t="str">
        <x:v>Borderline</x:v>
      </x:c>
      <x:c r="G420" s="33" t="str">
        <x:v>Strong case for exceptional originality, but I am less certain of equivalence to the user's very high benchmark.</x:v>
      </x:c>
      <x:c r="H420" s="29" t="str">
        <x:v>Chemistry roster</x:v>
      </x:c>
    </x:row>
    <x:row r="421" ht="36" customHeight="1">
      <x:c r="A421" s="29" t="str">
        <x:v>Chemistry</x:v>
      </x:c>
      <x:c r="B421" s="33" t="str">
        <x:v>Walther Nernst</x:v>
      </x:c>
      <x:c r="C421" s="35" t="n">
        <x:v>1920</x:v>
      </x:c>
      <x:c r="D421" s="36" t="str">
        <x:v>1920</x:v>
      </x:c>
      <x:c r="E421" s="36" t="str">
        <x:v>Person</x:v>
      </x:c>
      <x:c r="F421" s="37" t="str">
        <x:v>Clear</x:v>
      </x:c>
      <x:c r="G421" s="33" t="str">
        <x:v>Foundational electrochemistry and thermodynamics.</x:v>
      </x:c>
      <x:c r="H421" s="29" t="str">
        <x:v>Chemistry roster</x:v>
      </x:c>
    </x:row>
    <x:row r="422" ht="36" customHeight="1">
      <x:c r="A422" s="29" t="str">
        <x:v>Chemistry</x:v>
      </x:c>
      <x:c r="B422" s="33" t="str">
        <x:v>Frederick Soddy</x:v>
      </x:c>
      <x:c r="C422" s="35" t="n">
        <x:v>1921</x:v>
      </x:c>
      <x:c r="D422" s="36" t="str">
        <x:v>1921</x:v>
      </x:c>
      <x:c r="E422" s="36" t="str">
        <x:v>Person</x:v>
      </x:c>
      <x:c r="F422" s="37" t="str">
        <x:v>Not established here</x:v>
      </x:c>
      <x:c r="G422" s="33" t="str">
        <x:v>Not included in this affirmative shortlist. This is not a finding of non-genius.</x:v>
      </x:c>
      <x:c r="H422" s="29" t="str">
        <x:v>Chemistry roster</x:v>
      </x:c>
    </x:row>
    <x:row r="423" ht="36" customHeight="1">
      <x:c r="A423" s="29" t="str">
        <x:v>Chemistry</x:v>
      </x:c>
      <x:c r="B423" s="33" t="str">
        <x:v>Francis William Aston</x:v>
      </x:c>
      <x:c r="C423" s="35" t="n">
        <x:v>1922</x:v>
      </x:c>
      <x:c r="D423" s="36" t="str">
        <x:v>1922</x:v>
      </x:c>
      <x:c r="E423" s="36" t="str">
        <x:v>Person</x:v>
      </x:c>
      <x:c r="F423" s="37" t="str">
        <x:v>Not established here</x:v>
      </x:c>
      <x:c r="G423" s="33" t="str">
        <x:v>Not included in this affirmative shortlist. This is not a finding of non-genius.</x:v>
      </x:c>
      <x:c r="H423" s="29" t="str">
        <x:v>Chemistry roster</x:v>
      </x:c>
    </x:row>
    <x:row r="424" ht="36" customHeight="1">
      <x:c r="A424" s="29" t="str">
        <x:v>Chemistry</x:v>
      </x:c>
      <x:c r="B424" s="33" t="str">
        <x:v>Fritz Pregl</x:v>
      </x:c>
      <x:c r="C424" s="35" t="n">
        <x:v>1923</x:v>
      </x:c>
      <x:c r="D424" s="36" t="str">
        <x:v>1923</x:v>
      </x:c>
      <x:c r="E424" s="36" t="str">
        <x:v>Person</x:v>
      </x:c>
      <x:c r="F424" s="37" t="str">
        <x:v>Not established here</x:v>
      </x:c>
      <x:c r="G424" s="33" t="str">
        <x:v>Not included in this affirmative shortlist. This is not a finding of non-genius.</x:v>
      </x:c>
      <x:c r="H424" s="29" t="str">
        <x:v>Chemistry roster</x:v>
      </x:c>
    </x:row>
    <x:row r="425" ht="36" customHeight="1">
      <x:c r="A425" s="29" t="str">
        <x:v>Chemistry</x:v>
      </x:c>
      <x:c r="B425" s="33" t="str">
        <x:v>Richard Adolf Zsigmondy</x:v>
      </x:c>
      <x:c r="C425" s="35" t="n">
        <x:v>1925</x:v>
      </x:c>
      <x:c r="D425" s="36" t="str">
        <x:v>1925</x:v>
      </x:c>
      <x:c r="E425" s="36" t="str">
        <x:v>Person</x:v>
      </x:c>
      <x:c r="F425" s="37" t="str">
        <x:v>Not established here</x:v>
      </x:c>
      <x:c r="G425" s="33" t="str">
        <x:v>Not included in this affirmative shortlist. This is not a finding of non-genius.</x:v>
      </x:c>
      <x:c r="H425" s="29" t="str">
        <x:v>Chemistry roster</x:v>
      </x:c>
    </x:row>
    <x:row r="426" ht="36" customHeight="1">
      <x:c r="A426" s="29" t="str">
        <x:v>Chemistry</x:v>
      </x:c>
      <x:c r="B426" s="33" t="str">
        <x:v>The Svedberg</x:v>
      </x:c>
      <x:c r="C426" s="35" t="n">
        <x:v>1926</x:v>
      </x:c>
      <x:c r="D426" s="36" t="str">
        <x:v>1926</x:v>
      </x:c>
      <x:c r="E426" s="36" t="str">
        <x:v>Person</x:v>
      </x:c>
      <x:c r="F426" s="37" t="str">
        <x:v>Not established here</x:v>
      </x:c>
      <x:c r="G426" s="33" t="str">
        <x:v>Not included in this affirmative shortlist. This is not a finding of non-genius.</x:v>
      </x:c>
      <x:c r="H426" s="29" t="str">
        <x:v>Chemistry roster</x:v>
      </x:c>
    </x:row>
    <x:row r="427" ht="36" customHeight="1">
      <x:c r="A427" s="29" t="str">
        <x:v>Chemistry</x:v>
      </x:c>
      <x:c r="B427" s="33" t="str">
        <x:v>Heinrich Otto Wieland</x:v>
      </x:c>
      <x:c r="C427" s="35" t="n">
        <x:v>1927</x:v>
      </x:c>
      <x:c r="D427" s="36" t="str">
        <x:v>1927</x:v>
      </x:c>
      <x:c r="E427" s="36" t="str">
        <x:v>Person</x:v>
      </x:c>
      <x:c r="F427" s="37" t="str">
        <x:v>Not established here</x:v>
      </x:c>
      <x:c r="G427" s="33" t="str">
        <x:v>Not included in this affirmative shortlist. This is not a finding of non-genius.</x:v>
      </x:c>
      <x:c r="H427" s="29" t="str">
        <x:v>Chemistry roster</x:v>
      </x:c>
    </x:row>
    <x:row r="428" ht="36" customHeight="1">
      <x:c r="A428" s="29" t="str">
        <x:v>Chemistry</x:v>
      </x:c>
      <x:c r="B428" s="33" t="str">
        <x:v>Adolf Windaus</x:v>
      </x:c>
      <x:c r="C428" s="35" t="n">
        <x:v>1928</x:v>
      </x:c>
      <x:c r="D428" s="36" t="str">
        <x:v>1928</x:v>
      </x:c>
      <x:c r="E428" s="36" t="str">
        <x:v>Person</x:v>
      </x:c>
      <x:c r="F428" s="37" t="str">
        <x:v>Not established here</x:v>
      </x:c>
      <x:c r="G428" s="33" t="str">
        <x:v>Not included in this affirmative shortlist. This is not a finding of non-genius.</x:v>
      </x:c>
      <x:c r="H428" s="29" t="str">
        <x:v>Chemistry roster</x:v>
      </x:c>
    </x:row>
    <x:row r="429" ht="36" customHeight="1">
      <x:c r="A429" s="29" t="str">
        <x:v>Chemistry</x:v>
      </x:c>
      <x:c r="B429" s="33" t="str">
        <x:v>Arthur Harden</x:v>
      </x:c>
      <x:c r="C429" s="35" t="n">
        <x:v>1929</x:v>
      </x:c>
      <x:c r="D429" s="36" t="str">
        <x:v>1929</x:v>
      </x:c>
      <x:c r="E429" s="36" t="str">
        <x:v>Person</x:v>
      </x:c>
      <x:c r="F429" s="37" t="str">
        <x:v>Not established here</x:v>
      </x:c>
      <x:c r="G429" s="33" t="str">
        <x:v>Not included in this affirmative shortlist. This is not a finding of non-genius.</x:v>
      </x:c>
      <x:c r="H429" s="29" t="str">
        <x:v>Chemistry roster</x:v>
      </x:c>
    </x:row>
    <x:row r="430" ht="36" customHeight="1">
      <x:c r="A430" s="29" t="str">
        <x:v>Chemistry</x:v>
      </x:c>
      <x:c r="B430" s="33" t="str">
        <x:v>Hans von Euler-Chelpin</x:v>
      </x:c>
      <x:c r="C430" s="35" t="n">
        <x:v>1929</x:v>
      </x:c>
      <x:c r="D430" s="36" t="str">
        <x:v>1929</x:v>
      </x:c>
      <x:c r="E430" s="36" t="str">
        <x:v>Person</x:v>
      </x:c>
      <x:c r="F430" s="37" t="str">
        <x:v>Not established here</x:v>
      </x:c>
      <x:c r="G430" s="33" t="str">
        <x:v>Not included in this affirmative shortlist. This is not a finding of non-genius.</x:v>
      </x:c>
      <x:c r="H430" s="29" t="str">
        <x:v>Chemistry roster</x:v>
      </x:c>
    </x:row>
    <x:row r="431" ht="36" customHeight="1">
      <x:c r="A431" s="29" t="str">
        <x:v>Chemistry</x:v>
      </x:c>
      <x:c r="B431" s="33" t="str">
        <x:v>Hans Fischer</x:v>
      </x:c>
      <x:c r="C431" s="35" t="n">
        <x:v>1930</x:v>
      </x:c>
      <x:c r="D431" s="36" t="str">
        <x:v>1930</x:v>
      </x:c>
      <x:c r="E431" s="36" t="str">
        <x:v>Person</x:v>
      </x:c>
      <x:c r="F431" s="37" t="str">
        <x:v>Not established here</x:v>
      </x:c>
      <x:c r="G431" s="33" t="str">
        <x:v>Not included in this affirmative shortlist. This is not a finding of non-genius.</x:v>
      </x:c>
      <x:c r="H431" s="29" t="str">
        <x:v>Chemistry roster</x:v>
      </x:c>
    </x:row>
    <x:row r="432" ht="36" customHeight="1">
      <x:c r="A432" s="29" t="str">
        <x:v>Chemistry</x:v>
      </x:c>
      <x:c r="B432" s="33" t="str">
        <x:v>Carl Bosch</x:v>
      </x:c>
      <x:c r="C432" s="35" t="n">
        <x:v>1931</x:v>
      </x:c>
      <x:c r="D432" s="36" t="str">
        <x:v>1931</x:v>
      </x:c>
      <x:c r="E432" s="36" t="str">
        <x:v>Person</x:v>
      </x:c>
      <x:c r="F432" s="37" t="str">
        <x:v>Not established here</x:v>
      </x:c>
      <x:c r="G432" s="33" t="str">
        <x:v>Not included in this affirmative shortlist. This is not a finding of non-genius.</x:v>
      </x:c>
      <x:c r="H432" s="29" t="str">
        <x:v>Chemistry roster</x:v>
      </x:c>
    </x:row>
    <x:row r="433" ht="36" customHeight="1">
      <x:c r="A433" s="29" t="str">
        <x:v>Chemistry</x:v>
      </x:c>
      <x:c r="B433" s="33" t="str">
        <x:v>Friedrich Bergius</x:v>
      </x:c>
      <x:c r="C433" s="35" t="n">
        <x:v>1931</x:v>
      </x:c>
      <x:c r="D433" s="36" t="str">
        <x:v>1931</x:v>
      </x:c>
      <x:c r="E433" s="36" t="str">
        <x:v>Person</x:v>
      </x:c>
      <x:c r="F433" s="37" t="str">
        <x:v>Not established here</x:v>
      </x:c>
      <x:c r="G433" s="33" t="str">
        <x:v>Not included in this affirmative shortlist. This is not a finding of non-genius.</x:v>
      </x:c>
      <x:c r="H433" s="29" t="str">
        <x:v>Chemistry roster</x:v>
      </x:c>
    </x:row>
    <x:row r="434" ht="36" customHeight="1">
      <x:c r="A434" s="29" t="str">
        <x:v>Chemistry</x:v>
      </x:c>
      <x:c r="B434" s="33" t="str">
        <x:v>Irving Langmuir</x:v>
      </x:c>
      <x:c r="C434" s="35" t="n">
        <x:v>1932</x:v>
      </x:c>
      <x:c r="D434" s="36" t="str">
        <x:v>1932</x:v>
      </x:c>
      <x:c r="E434" s="36" t="str">
        <x:v>Person</x:v>
      </x:c>
      <x:c r="F434" s="37" t="str">
        <x:v>Clear</x:v>
      </x:c>
      <x:c r="G434" s="33" t="str">
        <x:v>Original surface chemistry, bonding and physical chemistry.</x:v>
      </x:c>
      <x:c r="H434" s="29" t="str">
        <x:v>Chemistry roster</x:v>
      </x:c>
    </x:row>
    <x:row r="435" ht="36" customHeight="1">
      <x:c r="A435" s="29" t="str">
        <x:v>Chemistry</x:v>
      </x:c>
      <x:c r="B435" s="33" t="str">
        <x:v>Harold Urey</x:v>
      </x:c>
      <x:c r="C435" s="35" t="n">
        <x:v>1934</x:v>
      </x:c>
      <x:c r="D435" s="36" t="str">
        <x:v>1934</x:v>
      </x:c>
      <x:c r="E435" s="36" t="str">
        <x:v>Person</x:v>
      </x:c>
      <x:c r="F435" s="37" t="str">
        <x:v>Borderline</x:v>
      </x:c>
      <x:c r="G435" s="33" t="str">
        <x:v>Strong case for exceptional originality, but I am less certain of equivalence to the user's very high benchmark.</x:v>
      </x:c>
      <x:c r="H435" s="29" t="str">
        <x:v>Chemistry roster</x:v>
      </x:c>
    </x:row>
    <x:row r="436" ht="36" customHeight="1">
      <x:c r="A436" s="29" t="str">
        <x:v>Chemistry</x:v>
      </x:c>
      <x:c r="B436" s="33" t="str">
        <x:v>Frédéric Joliot</x:v>
      </x:c>
      <x:c r="C436" s="35" t="n">
        <x:v>1935</x:v>
      </x:c>
      <x:c r="D436" s="36" t="str">
        <x:v>1935</x:v>
      </x:c>
      <x:c r="E436" s="36" t="str">
        <x:v>Person</x:v>
      </x:c>
      <x:c r="F436" s="37" t="str">
        <x:v>Not established here</x:v>
      </x:c>
      <x:c r="G436" s="33" t="str">
        <x:v>Not included in this affirmative shortlist. This is not a finding of non-genius.</x:v>
      </x:c>
      <x:c r="H436" s="29" t="str">
        <x:v>Chemistry roster</x:v>
      </x:c>
    </x:row>
    <x:row r="437" ht="36" customHeight="1">
      <x:c r="A437" s="29" t="str">
        <x:v>Chemistry</x:v>
      </x:c>
      <x:c r="B437" s="33" t="str">
        <x:v>Irène Joliot-Curie</x:v>
      </x:c>
      <x:c r="C437" s="35" t="n">
        <x:v>1935</x:v>
      </x:c>
      <x:c r="D437" s="36" t="str">
        <x:v>1935</x:v>
      </x:c>
      <x:c r="E437" s="36" t="str">
        <x:v>Person</x:v>
      </x:c>
      <x:c r="F437" s="37" t="str">
        <x:v>Not established here</x:v>
      </x:c>
      <x:c r="G437" s="33" t="str">
        <x:v>Not included in this affirmative shortlist. This is not a finding of non-genius.</x:v>
      </x:c>
      <x:c r="H437" s="29" t="str">
        <x:v>Chemistry roster</x:v>
      </x:c>
    </x:row>
    <x:row r="438" ht="36" customHeight="1">
      <x:c r="A438" s="29" t="str">
        <x:v>Chemistry</x:v>
      </x:c>
      <x:c r="B438" s="33" t="str">
        <x:v>Peter Debye</x:v>
      </x:c>
      <x:c r="C438" s="35" t="n">
        <x:v>1936</x:v>
      </x:c>
      <x:c r="D438" s="36" t="str">
        <x:v>1936</x:v>
      </x:c>
      <x:c r="E438" s="36" t="str">
        <x:v>Person</x:v>
      </x:c>
      <x:c r="F438" s="37" t="str">
        <x:v>Clear</x:v>
      </x:c>
      <x:c r="G438" s="33" t="str">
        <x:v>Broad foundational theory across molecular and condensed-matter physics.</x:v>
      </x:c>
      <x:c r="H438" s="29" t="str">
        <x:v>Chemistry roster</x:v>
      </x:c>
    </x:row>
    <x:row r="439" ht="36" customHeight="1">
      <x:c r="A439" s="29" t="str">
        <x:v>Chemistry</x:v>
      </x:c>
      <x:c r="B439" s="33" t="str">
        <x:v>Norman Haworth</x:v>
      </x:c>
      <x:c r="C439" s="35" t="n">
        <x:v>1937</x:v>
      </x:c>
      <x:c r="D439" s="36" t="str">
        <x:v>1937</x:v>
      </x:c>
      <x:c r="E439" s="36" t="str">
        <x:v>Person</x:v>
      </x:c>
      <x:c r="F439" s="37" t="str">
        <x:v>Not established here</x:v>
      </x:c>
      <x:c r="G439" s="33" t="str">
        <x:v>Not included in this affirmative shortlist. This is not a finding of non-genius.</x:v>
      </x:c>
      <x:c r="H439" s="29" t="str">
        <x:v>Chemistry roster</x:v>
      </x:c>
    </x:row>
    <x:row r="440" ht="36" customHeight="1">
      <x:c r="A440" s="29" t="str">
        <x:v>Chemistry</x:v>
      </x:c>
      <x:c r="B440" s="33" t="str">
        <x:v>Paul Karrer</x:v>
      </x:c>
      <x:c r="C440" s="35" t="n">
        <x:v>1937</x:v>
      </x:c>
      <x:c r="D440" s="36" t="str">
        <x:v>1937</x:v>
      </x:c>
      <x:c r="E440" s="36" t="str">
        <x:v>Person</x:v>
      </x:c>
      <x:c r="F440" s="37" t="str">
        <x:v>Not established here</x:v>
      </x:c>
      <x:c r="G440" s="33" t="str">
        <x:v>Not included in this affirmative shortlist. This is not a finding of non-genius.</x:v>
      </x:c>
      <x:c r="H440" s="29" t="str">
        <x:v>Chemistry roster</x:v>
      </x:c>
    </x:row>
    <x:row r="441" ht="36" customHeight="1">
      <x:c r="A441" s="29" t="str">
        <x:v>Chemistry</x:v>
      </x:c>
      <x:c r="B441" s="33" t="str">
        <x:v>Richard Kuhn</x:v>
      </x:c>
      <x:c r="C441" s="35" t="n">
        <x:v>1938</x:v>
      </x:c>
      <x:c r="D441" s="36" t="str">
        <x:v>1938</x:v>
      </x:c>
      <x:c r="E441" s="36" t="str">
        <x:v>Person</x:v>
      </x:c>
      <x:c r="F441" s="37" t="str">
        <x:v>Not established here</x:v>
      </x:c>
      <x:c r="G441" s="33" t="str">
        <x:v>Not included in this affirmative shortlist. This is not a finding of non-genius.</x:v>
      </x:c>
      <x:c r="H441" s="29" t="str">
        <x:v>Chemistry roster</x:v>
      </x:c>
    </x:row>
    <x:row r="442" ht="36" customHeight="1">
      <x:c r="A442" s="29" t="str">
        <x:v>Chemistry</x:v>
      </x:c>
      <x:c r="B442" s="33" t="str">
        <x:v>Adolf Butenandt</x:v>
      </x:c>
      <x:c r="C442" s="35" t="n">
        <x:v>1939</x:v>
      </x:c>
      <x:c r="D442" s="36" t="str">
        <x:v>1939</x:v>
      </x:c>
      <x:c r="E442" s="36" t="str">
        <x:v>Person</x:v>
      </x:c>
      <x:c r="F442" s="37" t="str">
        <x:v>Not established here</x:v>
      </x:c>
      <x:c r="G442" s="33" t="str">
        <x:v>Not included in this affirmative shortlist. This is not a finding of non-genius.</x:v>
      </x:c>
      <x:c r="H442" s="29" t="str">
        <x:v>Chemistry roster</x:v>
      </x:c>
    </x:row>
    <x:row r="443" ht="36" customHeight="1">
      <x:c r="A443" s="29" t="str">
        <x:v>Chemistry</x:v>
      </x:c>
      <x:c r="B443" s="33" t="str">
        <x:v>Leopold Ružička</x:v>
      </x:c>
      <x:c r="C443" s="35" t="n">
        <x:v>1939</x:v>
      </x:c>
      <x:c r="D443" s="36" t="str">
        <x:v>1939</x:v>
      </x:c>
      <x:c r="E443" s="36" t="str">
        <x:v>Person</x:v>
      </x:c>
      <x:c r="F443" s="37" t="str">
        <x:v>Not established here</x:v>
      </x:c>
      <x:c r="G443" s="33" t="str">
        <x:v>Not included in this affirmative shortlist. This is not a finding of non-genius.</x:v>
      </x:c>
      <x:c r="H443" s="29" t="str">
        <x:v>Chemistry roster</x:v>
      </x:c>
    </x:row>
    <x:row r="444" ht="36" customHeight="1">
      <x:c r="A444" s="29" t="str">
        <x:v>Chemistry</x:v>
      </x:c>
      <x:c r="B444" s="33" t="str">
        <x:v>George de Hevesy</x:v>
      </x:c>
      <x:c r="C444" s="35" t="n">
        <x:v>1943</x:v>
      </x:c>
      <x:c r="D444" s="36" t="str">
        <x:v>1943</x:v>
      </x:c>
      <x:c r="E444" s="36" t="str">
        <x:v>Person</x:v>
      </x:c>
      <x:c r="F444" s="37" t="str">
        <x:v>Not established here</x:v>
      </x:c>
      <x:c r="G444" s="33" t="str">
        <x:v>Not included in this affirmative shortlist. This is not a finding of non-genius.</x:v>
      </x:c>
      <x:c r="H444" s="29" t="str">
        <x:v>Chemistry roster</x:v>
      </x:c>
    </x:row>
    <x:row r="445" ht="36" customHeight="1">
      <x:c r="A445" s="29" t="str">
        <x:v>Chemistry</x:v>
      </x:c>
      <x:c r="B445" s="33" t="str">
        <x:v>Otto Hahn</x:v>
      </x:c>
      <x:c r="C445" s="35" t="n">
        <x:v>1944</x:v>
      </x:c>
      <x:c r="D445" s="36" t="str">
        <x:v>1944</x:v>
      </x:c>
      <x:c r="E445" s="36" t="str">
        <x:v>Person</x:v>
      </x:c>
      <x:c r="F445" s="37" t="str">
        <x:v>Not established here</x:v>
      </x:c>
      <x:c r="G445" s="33" t="str">
        <x:v>Not included in this affirmative shortlist. This is not a finding of non-genius.</x:v>
      </x:c>
      <x:c r="H445" s="29" t="str">
        <x:v>Chemistry roster</x:v>
      </x:c>
    </x:row>
    <x:row r="446" ht="36" customHeight="1">
      <x:c r="A446" s="29" t="str">
        <x:v>Chemistry</x:v>
      </x:c>
      <x:c r="B446" s="33" t="str">
        <x:v>Artturi Ilmari Virtanen</x:v>
      </x:c>
      <x:c r="C446" s="35" t="n">
        <x:v>1945</x:v>
      </x:c>
      <x:c r="D446" s="36" t="str">
        <x:v>1945</x:v>
      </x:c>
      <x:c r="E446" s="36" t="str">
        <x:v>Person</x:v>
      </x:c>
      <x:c r="F446" s="37" t="str">
        <x:v>Not established here</x:v>
      </x:c>
      <x:c r="G446" s="33" t="str">
        <x:v>Not included in this affirmative shortlist. This is not a finding of non-genius.</x:v>
      </x:c>
      <x:c r="H446" s="29" t="str">
        <x:v>Chemistry roster</x:v>
      </x:c>
    </x:row>
    <x:row r="447" ht="36" customHeight="1">
      <x:c r="A447" s="29" t="str">
        <x:v>Chemistry</x:v>
      </x:c>
      <x:c r="B447" s="33" t="str">
        <x:v>James B. Sumner</x:v>
      </x:c>
      <x:c r="C447" s="35" t="n">
        <x:v>1946</x:v>
      </x:c>
      <x:c r="D447" s="36" t="str">
        <x:v>1946</x:v>
      </x:c>
      <x:c r="E447" s="36" t="str">
        <x:v>Person</x:v>
      </x:c>
      <x:c r="F447" s="37" t="str">
        <x:v>Not established here</x:v>
      </x:c>
      <x:c r="G447" s="33" t="str">
        <x:v>Not included in this affirmative shortlist. This is not a finding of non-genius.</x:v>
      </x:c>
      <x:c r="H447" s="29" t="str">
        <x:v>Chemistry roster</x:v>
      </x:c>
    </x:row>
    <x:row r="448" ht="36" customHeight="1">
      <x:c r="A448" s="29" t="str">
        <x:v>Chemistry</x:v>
      </x:c>
      <x:c r="B448" s="33" t="str">
        <x:v>John Howard Northrop</x:v>
      </x:c>
      <x:c r="C448" s="35" t="n">
        <x:v>1946</x:v>
      </x:c>
      <x:c r="D448" s="36" t="str">
        <x:v>1946</x:v>
      </x:c>
      <x:c r="E448" s="36" t="str">
        <x:v>Person</x:v>
      </x:c>
      <x:c r="F448" s="37" t="str">
        <x:v>Not established here</x:v>
      </x:c>
      <x:c r="G448" s="33" t="str">
        <x:v>Not included in this affirmative shortlist. This is not a finding of non-genius.</x:v>
      </x:c>
      <x:c r="H448" s="29" t="str">
        <x:v>Chemistry roster</x:v>
      </x:c>
    </x:row>
    <x:row r="449" ht="36" customHeight="1">
      <x:c r="A449" s="29" t="str">
        <x:v>Chemistry</x:v>
      </x:c>
      <x:c r="B449" s="33" t="str">
        <x:v>Wendell Meredith Stanley</x:v>
      </x:c>
      <x:c r="C449" s="35" t="n">
        <x:v>1946</x:v>
      </x:c>
      <x:c r="D449" s="36" t="str">
        <x:v>1946</x:v>
      </x:c>
      <x:c r="E449" s="36" t="str">
        <x:v>Person</x:v>
      </x:c>
      <x:c r="F449" s="37" t="str">
        <x:v>Not established here</x:v>
      </x:c>
      <x:c r="G449" s="33" t="str">
        <x:v>Not included in this affirmative shortlist. This is not a finding of non-genius.</x:v>
      </x:c>
      <x:c r="H449" s="29" t="str">
        <x:v>Chemistry roster</x:v>
      </x:c>
    </x:row>
    <x:row r="450" ht="36" customHeight="1">
      <x:c r="A450" s="29" t="str">
        <x:v>Chemistry</x:v>
      </x:c>
      <x:c r="B450" s="33" t="str">
        <x:v>Robert Robinson</x:v>
      </x:c>
      <x:c r="C450" s="35" t="n">
        <x:v>1947</x:v>
      </x:c>
      <x:c r="D450" s="36" t="str">
        <x:v>1947</x:v>
      </x:c>
      <x:c r="E450" s="36" t="str">
        <x:v>Person</x:v>
      </x:c>
      <x:c r="F450" s="37" t="str">
        <x:v>Borderline</x:v>
      </x:c>
      <x:c r="G450" s="33" t="str">
        <x:v>Strong case for exceptional originality, but I am less certain of equivalence to the user's very high benchmark.</x:v>
      </x:c>
      <x:c r="H450" s="29" t="str">
        <x:v>Chemistry roster</x:v>
      </x:c>
    </x:row>
    <x:row r="451" ht="36" customHeight="1">
      <x:c r="A451" s="29" t="str">
        <x:v>Chemistry</x:v>
      </x:c>
      <x:c r="B451" s="33" t="str">
        <x:v>Arne Tiselius</x:v>
      </x:c>
      <x:c r="C451" s="35" t="n">
        <x:v>1948</x:v>
      </x:c>
      <x:c r="D451" s="36" t="str">
        <x:v>1948</x:v>
      </x:c>
      <x:c r="E451" s="36" t="str">
        <x:v>Person</x:v>
      </x:c>
      <x:c r="F451" s="37" t="str">
        <x:v>Not established here</x:v>
      </x:c>
      <x:c r="G451" s="33" t="str">
        <x:v>Not included in this affirmative shortlist. This is not a finding of non-genius.</x:v>
      </x:c>
      <x:c r="H451" s="29" t="str">
        <x:v>Chemistry roster</x:v>
      </x:c>
    </x:row>
    <x:row r="452" ht="36" customHeight="1">
      <x:c r="A452" s="29" t="str">
        <x:v>Chemistry</x:v>
      </x:c>
      <x:c r="B452" s="33" t="str">
        <x:v>William Giauque</x:v>
      </x:c>
      <x:c r="C452" s="35" t="n">
        <x:v>1949</x:v>
      </x:c>
      <x:c r="D452" s="36" t="str">
        <x:v>1949</x:v>
      </x:c>
      <x:c r="E452" s="36" t="str">
        <x:v>Person</x:v>
      </x:c>
      <x:c r="F452" s="37" t="str">
        <x:v>Not established here</x:v>
      </x:c>
      <x:c r="G452" s="33" t="str">
        <x:v>Not included in this affirmative shortlist. This is not a finding of non-genius.</x:v>
      </x:c>
      <x:c r="H452" s="29" t="str">
        <x:v>Chemistry roster</x:v>
      </x:c>
    </x:row>
    <x:row r="453" ht="36" customHeight="1">
      <x:c r="A453" s="29" t="str">
        <x:v>Chemistry</x:v>
      </x:c>
      <x:c r="B453" s="33" t="str">
        <x:v>Kurt Alder</x:v>
      </x:c>
      <x:c r="C453" s="35" t="n">
        <x:v>1950</x:v>
      </x:c>
      <x:c r="D453" s="36" t="str">
        <x:v>1950</x:v>
      </x:c>
      <x:c r="E453" s="36" t="str">
        <x:v>Person</x:v>
      </x:c>
      <x:c r="F453" s="37" t="str">
        <x:v>Not established here</x:v>
      </x:c>
      <x:c r="G453" s="33" t="str">
        <x:v>Not included in this affirmative shortlist. This is not a finding of non-genius.</x:v>
      </x:c>
      <x:c r="H453" s="29" t="str">
        <x:v>Chemistry roster</x:v>
      </x:c>
    </x:row>
    <x:row r="454" ht="36" customHeight="1">
      <x:c r="A454" s="29" t="str">
        <x:v>Chemistry</x:v>
      </x:c>
      <x:c r="B454" s="33" t="str">
        <x:v>Otto Diels</x:v>
      </x:c>
      <x:c r="C454" s="35" t="n">
        <x:v>1950</x:v>
      </x:c>
      <x:c r="D454" s="36" t="str">
        <x:v>1950</x:v>
      </x:c>
      <x:c r="E454" s="36" t="str">
        <x:v>Person</x:v>
      </x:c>
      <x:c r="F454" s="37" t="str">
        <x:v>Not established here</x:v>
      </x:c>
      <x:c r="G454" s="33" t="str">
        <x:v>Not included in this affirmative shortlist. This is not a finding of non-genius.</x:v>
      </x:c>
      <x:c r="H454" s="29" t="str">
        <x:v>Chemistry roster</x:v>
      </x:c>
    </x:row>
    <x:row r="455" ht="36" customHeight="1">
      <x:c r="A455" s="29" t="str">
        <x:v>Chemistry</x:v>
      </x:c>
      <x:c r="B455" s="33" t="str">
        <x:v>Edwin McMillan</x:v>
      </x:c>
      <x:c r="C455" s="35" t="n">
        <x:v>1951</x:v>
      </x:c>
      <x:c r="D455" s="36" t="str">
        <x:v>1951</x:v>
      </x:c>
      <x:c r="E455" s="36" t="str">
        <x:v>Person</x:v>
      </x:c>
      <x:c r="F455" s="37" t="str">
        <x:v>Not established here</x:v>
      </x:c>
      <x:c r="G455" s="33" t="str">
        <x:v>Not included in this affirmative shortlist. This is not a finding of non-genius.</x:v>
      </x:c>
      <x:c r="H455" s="29" t="str">
        <x:v>Chemistry roster</x:v>
      </x:c>
    </x:row>
    <x:row r="456" ht="36" customHeight="1">
      <x:c r="A456" s="29" t="str">
        <x:v>Chemistry</x:v>
      </x:c>
      <x:c r="B456" s="33" t="str">
        <x:v>Glenn T. Seaborg</x:v>
      </x:c>
      <x:c r="C456" s="35" t="n">
        <x:v>1951</x:v>
      </x:c>
      <x:c r="D456" s="36" t="str">
        <x:v>1951</x:v>
      </x:c>
      <x:c r="E456" s="36" t="str">
        <x:v>Person</x:v>
      </x:c>
      <x:c r="F456" s="37" t="str">
        <x:v>Not established here</x:v>
      </x:c>
      <x:c r="G456" s="33" t="str">
        <x:v>Not included in this affirmative shortlist. This is not a finding of non-genius.</x:v>
      </x:c>
      <x:c r="H456" s="29" t="str">
        <x:v>Chemistry roster</x:v>
      </x:c>
    </x:row>
    <x:row r="457" ht="36" customHeight="1">
      <x:c r="A457" s="29" t="str">
        <x:v>Chemistry</x:v>
      </x:c>
      <x:c r="B457" s="33" t="str">
        <x:v>Archer Martin</x:v>
      </x:c>
      <x:c r="C457" s="35" t="n">
        <x:v>1952</x:v>
      </x:c>
      <x:c r="D457" s="36" t="str">
        <x:v>1952</x:v>
      </x:c>
      <x:c r="E457" s="36" t="str">
        <x:v>Person</x:v>
      </x:c>
      <x:c r="F457" s="37" t="str">
        <x:v>Not established here</x:v>
      </x:c>
      <x:c r="G457" s="33" t="str">
        <x:v>Not included in this affirmative shortlist. This is not a finding of non-genius.</x:v>
      </x:c>
      <x:c r="H457" s="29" t="str">
        <x:v>Chemistry roster</x:v>
      </x:c>
    </x:row>
    <x:row r="458" ht="36" customHeight="1">
      <x:c r="A458" s="29" t="str">
        <x:v>Chemistry</x:v>
      </x:c>
      <x:c r="B458" s="33" t="str">
        <x:v>Richard Laurence Millington Synge</x:v>
      </x:c>
      <x:c r="C458" s="35" t="n">
        <x:v>1952</x:v>
      </x:c>
      <x:c r="D458" s="36" t="str">
        <x:v>1952</x:v>
      </x:c>
      <x:c r="E458" s="36" t="str">
        <x:v>Person</x:v>
      </x:c>
      <x:c r="F458" s="37" t="str">
        <x:v>Not established here</x:v>
      </x:c>
      <x:c r="G458" s="33" t="str">
        <x:v>Not included in this affirmative shortlist. This is not a finding of non-genius.</x:v>
      </x:c>
      <x:c r="H458" s="29" t="str">
        <x:v>Chemistry roster</x:v>
      </x:c>
    </x:row>
    <x:row r="459" ht="36" customHeight="1">
      <x:c r="A459" s="29" t="str">
        <x:v>Chemistry</x:v>
      </x:c>
      <x:c r="B459" s="33" t="str">
        <x:v>Hermann Staudinger</x:v>
      </x:c>
      <x:c r="C459" s="35" t="n">
        <x:v>1953</x:v>
      </x:c>
      <x:c r="D459" s="36" t="str">
        <x:v>1953</x:v>
      </x:c>
      <x:c r="E459" s="36" t="str">
        <x:v>Person</x:v>
      </x:c>
      <x:c r="F459" s="37" t="str">
        <x:v>Borderline</x:v>
      </x:c>
      <x:c r="G459" s="33" t="str">
        <x:v>Strong case for exceptional originality, but I am less certain of equivalence to the user's very high benchmark.</x:v>
      </x:c>
      <x:c r="H459" s="29" t="str">
        <x:v>Chemistry roster</x:v>
      </x:c>
    </x:row>
    <x:row r="460" ht="36" customHeight="1">
      <x:c r="A460" s="29" t="str">
        <x:v>Chemistry</x:v>
      </x:c>
      <x:c r="B460" s="33" t="str">
        <x:v>Linus Pauling</x:v>
      </x:c>
      <x:c r="C460" s="35" t="n">
        <x:v>1954</x:v>
      </x:c>
      <x:c r="D460" s="36" t="str">
        <x:v>1954</x:v>
      </x:c>
      <x:c r="E460" s="36" t="str">
        <x:v>Person</x:v>
      </x:c>
      <x:c r="F460" s="37" t="str">
        <x:v>Clear</x:v>
      </x:c>
      <x:c r="G460" s="33" t="str">
        <x:v>Chemical bonding, molecular structure and extraordinary cross-field originality.</x:v>
      </x:c>
      <x:c r="H460" s="29" t="str">
        <x:v>Chemistry roster</x:v>
      </x:c>
    </x:row>
    <x:row r="461" ht="36" customHeight="1">
      <x:c r="A461" s="29" t="str">
        <x:v>Chemistry</x:v>
      </x:c>
      <x:c r="B461" s="33" t="str">
        <x:v>Vincent du Vigneaud</x:v>
      </x:c>
      <x:c r="C461" s="35" t="n">
        <x:v>1955</x:v>
      </x:c>
      <x:c r="D461" s="36" t="str">
        <x:v>1955</x:v>
      </x:c>
      <x:c r="E461" s="36" t="str">
        <x:v>Person</x:v>
      </x:c>
      <x:c r="F461" s="37" t="str">
        <x:v>Not established here</x:v>
      </x:c>
      <x:c r="G461" s="33" t="str">
        <x:v>Not included in this affirmative shortlist. This is not a finding of non-genius.</x:v>
      </x:c>
      <x:c r="H461" s="29" t="str">
        <x:v>Chemistry roster</x:v>
      </x:c>
    </x:row>
    <x:row r="462" ht="36" customHeight="1">
      <x:c r="A462" s="29" t="str">
        <x:v>Chemistry</x:v>
      </x:c>
      <x:c r="B462" s="33" t="str">
        <x:v>Cyril Norman Hinshelwood</x:v>
      </x:c>
      <x:c r="C462" s="35" t="n">
        <x:v>1956</x:v>
      </x:c>
      <x:c r="D462" s="36" t="str">
        <x:v>1956</x:v>
      </x:c>
      <x:c r="E462" s="36" t="str">
        <x:v>Person</x:v>
      </x:c>
      <x:c r="F462" s="37" t="str">
        <x:v>Not established here</x:v>
      </x:c>
      <x:c r="G462" s="33" t="str">
        <x:v>Not included in this affirmative shortlist. This is not a finding of non-genius.</x:v>
      </x:c>
      <x:c r="H462" s="29" t="str">
        <x:v>Chemistry roster</x:v>
      </x:c>
    </x:row>
    <x:row r="463" ht="36" customHeight="1">
      <x:c r="A463" s="29" t="str">
        <x:v>Chemistry</x:v>
      </x:c>
      <x:c r="B463" s="33" t="str">
        <x:v>Nikolay Semyonov</x:v>
      </x:c>
      <x:c r="C463" s="35" t="n">
        <x:v>1956</x:v>
      </x:c>
      <x:c r="D463" s="36" t="str">
        <x:v>1956</x:v>
      </x:c>
      <x:c r="E463" s="36" t="str">
        <x:v>Person</x:v>
      </x:c>
      <x:c r="F463" s="37" t="str">
        <x:v>Not established here</x:v>
      </x:c>
      <x:c r="G463" s="33" t="str">
        <x:v>Not included in this affirmative shortlist. This is not a finding of non-genius.</x:v>
      </x:c>
      <x:c r="H463" s="29" t="str">
        <x:v>Chemistry roster</x:v>
      </x:c>
    </x:row>
    <x:row r="464" ht="36" customHeight="1">
      <x:c r="A464" s="29" t="str">
        <x:v>Chemistry</x:v>
      </x:c>
      <x:c r="B464" s="33" t="str">
        <x:v>Alexander R. Todd</x:v>
      </x:c>
      <x:c r="C464" s="35" t="n">
        <x:v>1957</x:v>
      </x:c>
      <x:c r="D464" s="36" t="str">
        <x:v>1957</x:v>
      </x:c>
      <x:c r="E464" s="36" t="str">
        <x:v>Person</x:v>
      </x:c>
      <x:c r="F464" s="37" t="str">
        <x:v>Not established here</x:v>
      </x:c>
      <x:c r="G464" s="33" t="str">
        <x:v>Not included in this affirmative shortlist. This is not a finding of non-genius.</x:v>
      </x:c>
      <x:c r="H464" s="29" t="str">
        <x:v>Chemistry roster</x:v>
      </x:c>
    </x:row>
    <x:row r="465" ht="36" customHeight="1">
      <x:c r="A465" s="29" t="str">
        <x:v>Chemistry</x:v>
      </x:c>
      <x:c r="B465" s="33" t="str">
        <x:v>Frederick Sanger</x:v>
      </x:c>
      <x:c r="C465" s="35" t="n">
        <x:v>1958</x:v>
      </x:c>
      <x:c r="D465" s="36" t="str">
        <x:v>1958, 1980</x:v>
      </x:c>
      <x:c r="E465" s="36" t="str">
        <x:v>Person</x:v>
      </x:c>
      <x:c r="F465" s="37" t="str">
        <x:v>Clear</x:v>
      </x:c>
      <x:c r="G465" s="33" t="str">
        <x:v>Independent revolutions in protein and DNA sequencing.</x:v>
      </x:c>
      <x:c r="H465" s="29" t="str">
        <x:v>Chemistry roster</x:v>
      </x:c>
    </x:row>
    <x:row r="466" ht="36" customHeight="1">
      <x:c r="A466" s="29" t="str">
        <x:v>Chemistry</x:v>
      </x:c>
      <x:c r="B466" s="33" t="str">
        <x:v>Jaroslav Heyrovský</x:v>
      </x:c>
      <x:c r="C466" s="35" t="n">
        <x:v>1959</x:v>
      </x:c>
      <x:c r="D466" s="36" t="str">
        <x:v>1959</x:v>
      </x:c>
      <x:c r="E466" s="36" t="str">
        <x:v>Person</x:v>
      </x:c>
      <x:c r="F466" s="37" t="str">
        <x:v>Not established here</x:v>
      </x:c>
      <x:c r="G466" s="33" t="str">
        <x:v>Not included in this affirmative shortlist. This is not a finding of non-genius.</x:v>
      </x:c>
      <x:c r="H466" s="29" t="str">
        <x:v>Chemistry roster</x:v>
      </x:c>
    </x:row>
    <x:row r="467" ht="36" customHeight="1">
      <x:c r="A467" s="29" t="str">
        <x:v>Chemistry</x:v>
      </x:c>
      <x:c r="B467" s="33" t="str">
        <x:v>Willard Libby</x:v>
      </x:c>
      <x:c r="C467" s="35" t="n">
        <x:v>1960</x:v>
      </x:c>
      <x:c r="D467" s="36" t="str">
        <x:v>1960</x:v>
      </x:c>
      <x:c r="E467" s="36" t="str">
        <x:v>Person</x:v>
      </x:c>
      <x:c r="F467" s="37" t="str">
        <x:v>Not established here</x:v>
      </x:c>
      <x:c r="G467" s="33" t="str">
        <x:v>Not included in this affirmative shortlist. This is not a finding of non-genius.</x:v>
      </x:c>
      <x:c r="H467" s="29" t="str">
        <x:v>Chemistry roster</x:v>
      </x:c>
    </x:row>
    <x:row r="468" ht="36" customHeight="1">
      <x:c r="A468" s="29" t="str">
        <x:v>Chemistry</x:v>
      </x:c>
      <x:c r="B468" s="33" t="str">
        <x:v>Melvin Calvin</x:v>
      </x:c>
      <x:c r="C468" s="35" t="n">
        <x:v>1961</x:v>
      </x:c>
      <x:c r="D468" s="36" t="str">
        <x:v>1961</x:v>
      </x:c>
      <x:c r="E468" s="36" t="str">
        <x:v>Person</x:v>
      </x:c>
      <x:c r="F468" s="37" t="str">
        <x:v>Not established here</x:v>
      </x:c>
      <x:c r="G468" s="33" t="str">
        <x:v>Not included in this affirmative shortlist. This is not a finding of non-genius.</x:v>
      </x:c>
      <x:c r="H468" s="29" t="str">
        <x:v>Chemistry roster</x:v>
      </x:c>
    </x:row>
    <x:row r="469" ht="36" customHeight="1">
      <x:c r="A469" s="29" t="str">
        <x:v>Chemistry</x:v>
      </x:c>
      <x:c r="B469" s="33" t="str">
        <x:v>John Kendrew</x:v>
      </x:c>
      <x:c r="C469" s="35" t="n">
        <x:v>1962</x:v>
      </x:c>
      <x:c r="D469" s="36" t="str">
        <x:v>1962</x:v>
      </x:c>
      <x:c r="E469" s="36" t="str">
        <x:v>Person</x:v>
      </x:c>
      <x:c r="F469" s="37" t="str">
        <x:v>Not established here</x:v>
      </x:c>
      <x:c r="G469" s="33" t="str">
        <x:v>Not included in this affirmative shortlist. This is not a finding of non-genius.</x:v>
      </x:c>
      <x:c r="H469" s="29" t="str">
        <x:v>Chemistry roster</x:v>
      </x:c>
    </x:row>
    <x:row r="470" ht="36" customHeight="1">
      <x:c r="A470" s="29" t="str">
        <x:v>Chemistry</x:v>
      </x:c>
      <x:c r="B470" s="33" t="str">
        <x:v>Max Perutz</x:v>
      </x:c>
      <x:c r="C470" s="35" t="n">
        <x:v>1962</x:v>
      </x:c>
      <x:c r="D470" s="36" t="str">
        <x:v>1962</x:v>
      </x:c>
      <x:c r="E470" s="36" t="str">
        <x:v>Person</x:v>
      </x:c>
      <x:c r="F470" s="37" t="str">
        <x:v>Borderline</x:v>
      </x:c>
      <x:c r="G470" s="33" t="str">
        <x:v>Strong case for exceptional originality, but I am less certain of equivalence to the user's very high benchmark.</x:v>
      </x:c>
      <x:c r="H470" s="29" t="str">
        <x:v>Chemistry roster</x:v>
      </x:c>
    </x:row>
    <x:row r="471" ht="36" customHeight="1">
      <x:c r="A471" s="29" t="str">
        <x:v>Chemistry</x:v>
      </x:c>
      <x:c r="B471" s="33" t="str">
        <x:v>Giulio Natta</x:v>
      </x:c>
      <x:c r="C471" s="35" t="n">
        <x:v>1963</x:v>
      </x:c>
      <x:c r="D471" s="36" t="str">
        <x:v>1963</x:v>
      </x:c>
      <x:c r="E471" s="36" t="str">
        <x:v>Person</x:v>
      </x:c>
      <x:c r="F471" s="37" t="str">
        <x:v>Not established here</x:v>
      </x:c>
      <x:c r="G471" s="33" t="str">
        <x:v>Not included in this affirmative shortlist. This is not a finding of non-genius.</x:v>
      </x:c>
      <x:c r="H471" s="29" t="str">
        <x:v>Chemistry roster</x:v>
      </x:c>
    </x:row>
    <x:row r="472" ht="36" customHeight="1">
      <x:c r="A472" s="29" t="str">
        <x:v>Chemistry</x:v>
      </x:c>
      <x:c r="B472" s="33" t="str">
        <x:v>Karl Ziegler</x:v>
      </x:c>
      <x:c r="C472" s="35" t="n">
        <x:v>1963</x:v>
      </x:c>
      <x:c r="D472" s="36" t="str">
        <x:v>1963</x:v>
      </x:c>
      <x:c r="E472" s="36" t="str">
        <x:v>Person</x:v>
      </x:c>
      <x:c r="F472" s="37" t="str">
        <x:v>Not established here</x:v>
      </x:c>
      <x:c r="G472" s="33" t="str">
        <x:v>Not included in this affirmative shortlist. This is not a finding of non-genius.</x:v>
      </x:c>
      <x:c r="H472" s="29" t="str">
        <x:v>Chemistry roster</x:v>
      </x:c>
    </x:row>
    <x:row r="473" ht="36" customHeight="1">
      <x:c r="A473" s="29" t="str">
        <x:v>Chemistry</x:v>
      </x:c>
      <x:c r="B473" s="33" t="str">
        <x:v>Dorothy Hodgkin</x:v>
      </x:c>
      <x:c r="C473" s="35" t="n">
        <x:v>1964</x:v>
      </x:c>
      <x:c r="D473" s="36" t="str">
        <x:v>1964</x:v>
      </x:c>
      <x:c r="E473" s="36" t="str">
        <x:v>Person</x:v>
      </x:c>
      <x:c r="F473" s="37" t="str">
        <x:v>Borderline</x:v>
      </x:c>
      <x:c r="G473" s="33" t="str">
        <x:v>Strong case for exceptional originality, but I am less certain of equivalence to the user's very high benchmark.</x:v>
      </x:c>
      <x:c r="H473" s="29" t="str">
        <x:v>Chemistry roster</x:v>
      </x:c>
    </x:row>
    <x:row r="474" ht="36" customHeight="1">
      <x:c r="A474" s="29" t="str">
        <x:v>Chemistry</x:v>
      </x:c>
      <x:c r="B474" s="33" t="str">
        <x:v>Robert Burns Woodward</x:v>
      </x:c>
      <x:c r="C474" s="35" t="n">
        <x:v>1965</x:v>
      </x:c>
      <x:c r="D474" s="36" t="str">
        <x:v>1965</x:v>
      </x:c>
      <x:c r="E474" s="36" t="str">
        <x:v>Person</x:v>
      </x:c>
      <x:c r="F474" s="37" t="str">
        <x:v>Clear</x:v>
      </x:c>
      <x:c r="G474" s="33" t="str">
        <x:v>Transformative ingenuity in organic synthesis.</x:v>
      </x:c>
      <x:c r="H474" s="29" t="str">
        <x:v>Chemistry roster</x:v>
      </x:c>
    </x:row>
    <x:row r="475" ht="36" customHeight="1">
      <x:c r="A475" s="29" t="str">
        <x:v>Chemistry</x:v>
      </x:c>
      <x:c r="B475" s="33" t="str">
        <x:v>Robert S. Mulliken</x:v>
      </x:c>
      <x:c r="C475" s="35" t="n">
        <x:v>1966</x:v>
      </x:c>
      <x:c r="D475" s="36" t="str">
        <x:v>1966</x:v>
      </x:c>
      <x:c r="E475" s="36" t="str">
        <x:v>Person</x:v>
      </x:c>
      <x:c r="F475" s="37" t="str">
        <x:v>Clear</x:v>
      </x:c>
      <x:c r="G475" s="33" t="str">
        <x:v>Founded major parts of quantum chemistry.</x:v>
      </x:c>
      <x:c r="H475" s="29" t="str">
        <x:v>Chemistry roster</x:v>
      </x:c>
    </x:row>
    <x:row r="476" ht="36" customHeight="1">
      <x:c r="A476" s="29" t="str">
        <x:v>Chemistry</x:v>
      </x:c>
      <x:c r="B476" s="33" t="str">
        <x:v>George Porter</x:v>
      </x:c>
      <x:c r="C476" s="35" t="n">
        <x:v>1967</x:v>
      </x:c>
      <x:c r="D476" s="36" t="str">
        <x:v>1967</x:v>
      </x:c>
      <x:c r="E476" s="36" t="str">
        <x:v>Person</x:v>
      </x:c>
      <x:c r="F476" s="37" t="str">
        <x:v>Not established here</x:v>
      </x:c>
      <x:c r="G476" s="33" t="str">
        <x:v>Not included in this affirmative shortlist. This is not a finding of non-genius.</x:v>
      </x:c>
      <x:c r="H476" s="29" t="str">
        <x:v>Chemistry roster</x:v>
      </x:c>
    </x:row>
    <x:row r="477" ht="36" customHeight="1">
      <x:c r="A477" s="29" t="str">
        <x:v>Chemistry</x:v>
      </x:c>
      <x:c r="B477" s="33" t="str">
        <x:v>Manfred Eigen</x:v>
      </x:c>
      <x:c r="C477" s="35" t="n">
        <x:v>1967</x:v>
      </x:c>
      <x:c r="D477" s="36" t="str">
        <x:v>1967</x:v>
      </x:c>
      <x:c r="E477" s="36" t="str">
        <x:v>Person</x:v>
      </x:c>
      <x:c r="F477" s="37" t="str">
        <x:v>Clear</x:v>
      </x:c>
      <x:c r="G477" s="33" t="str">
        <x:v>Fast-reaction methods and original quantitative theories of molecular evolution.</x:v>
      </x:c>
      <x:c r="H477" s="29" t="str">
        <x:v>Chemistry roster</x:v>
      </x:c>
    </x:row>
    <x:row r="478" ht="36" customHeight="1">
      <x:c r="A478" s="29" t="str">
        <x:v>Chemistry</x:v>
      </x:c>
      <x:c r="B478" s="33" t="str">
        <x:v>Ronald George Wreyford Norrish</x:v>
      </x:c>
      <x:c r="C478" s="35" t="n">
        <x:v>1967</x:v>
      </x:c>
      <x:c r="D478" s="36" t="str">
        <x:v>1967</x:v>
      </x:c>
      <x:c r="E478" s="36" t="str">
        <x:v>Person</x:v>
      </x:c>
      <x:c r="F478" s="37" t="str">
        <x:v>Not established here</x:v>
      </x:c>
      <x:c r="G478" s="33" t="str">
        <x:v>Not included in this affirmative shortlist. This is not a finding of non-genius.</x:v>
      </x:c>
      <x:c r="H478" s="29" t="str">
        <x:v>Chemistry roster</x:v>
      </x:c>
    </x:row>
    <x:row r="479" ht="36" customHeight="1">
      <x:c r="A479" s="29" t="str">
        <x:v>Chemistry</x:v>
      </x:c>
      <x:c r="B479" s="33" t="str">
        <x:v>Lars Onsager</x:v>
      </x:c>
      <x:c r="C479" s="35" t="n">
        <x:v>1968</x:v>
      </x:c>
      <x:c r="D479" s="36" t="str">
        <x:v>1968</x:v>
      </x:c>
      <x:c r="E479" s="36" t="str">
        <x:v>Person</x:v>
      </x:c>
      <x:c r="F479" s="37" t="str">
        <x:v>Clear</x:v>
      </x:c>
      <x:c r="G479" s="33" t="str">
        <x:v>Reciprocity, exact statistical mechanics and extraordinary mathematical physics.</x:v>
      </x:c>
      <x:c r="H479" s="29" t="str">
        <x:v>Chemistry roster</x:v>
      </x:c>
    </x:row>
    <x:row r="480" ht="36" customHeight="1">
      <x:c r="A480" s="29" t="str">
        <x:v>Chemistry</x:v>
      </x:c>
      <x:c r="B480" s="33" t="str">
        <x:v>Derek Barton</x:v>
      </x:c>
      <x:c r="C480" s="35" t="n">
        <x:v>1969</x:v>
      </x:c>
      <x:c r="D480" s="36" t="str">
        <x:v>1969</x:v>
      </x:c>
      <x:c r="E480" s="36" t="str">
        <x:v>Person</x:v>
      </x:c>
      <x:c r="F480" s="37" t="str">
        <x:v>Borderline</x:v>
      </x:c>
      <x:c r="G480" s="33" t="str">
        <x:v>Strong case for exceptional originality, but I am less certain of equivalence to the user's very high benchmark.</x:v>
      </x:c>
      <x:c r="H480" s="29" t="str">
        <x:v>Chemistry roster</x:v>
      </x:c>
    </x:row>
    <x:row r="481" ht="36" customHeight="1">
      <x:c r="A481" s="29" t="str">
        <x:v>Chemistry</x:v>
      </x:c>
      <x:c r="B481" s="33" t="str">
        <x:v>Odd Hassel</x:v>
      </x:c>
      <x:c r="C481" s="35" t="n">
        <x:v>1969</x:v>
      </x:c>
      <x:c r="D481" s="36" t="str">
        <x:v>1969</x:v>
      </x:c>
      <x:c r="E481" s="36" t="str">
        <x:v>Person</x:v>
      </x:c>
      <x:c r="F481" s="37" t="str">
        <x:v>Not established here</x:v>
      </x:c>
      <x:c r="G481" s="33" t="str">
        <x:v>Not included in this affirmative shortlist. This is not a finding of non-genius.</x:v>
      </x:c>
      <x:c r="H481" s="29" t="str">
        <x:v>Chemistry roster</x:v>
      </x:c>
    </x:row>
    <x:row r="482" ht="36" customHeight="1">
      <x:c r="A482" s="29" t="str">
        <x:v>Chemistry</x:v>
      </x:c>
      <x:c r="B482" s="33" t="str">
        <x:v>Luis Leloir</x:v>
      </x:c>
      <x:c r="C482" s="35" t="n">
        <x:v>1970</x:v>
      </x:c>
      <x:c r="D482" s="36" t="str">
        <x:v>1970</x:v>
      </x:c>
      <x:c r="E482" s="36" t="str">
        <x:v>Person</x:v>
      </x:c>
      <x:c r="F482" s="37" t="str">
        <x:v>Not established here</x:v>
      </x:c>
      <x:c r="G482" s="33" t="str">
        <x:v>Not included in this affirmative shortlist. This is not a finding of non-genius.</x:v>
      </x:c>
      <x:c r="H482" s="29" t="str">
        <x:v>Chemistry roster</x:v>
      </x:c>
    </x:row>
    <x:row r="483" ht="36" customHeight="1">
      <x:c r="A483" s="29" t="str">
        <x:v>Chemistry</x:v>
      </x:c>
      <x:c r="B483" s="33" t="str">
        <x:v>Gerhard Herzberg</x:v>
      </x:c>
      <x:c r="C483" s="35" t="n">
        <x:v>1971</x:v>
      </x:c>
      <x:c r="D483" s="36" t="str">
        <x:v>1971</x:v>
      </x:c>
      <x:c r="E483" s="36" t="str">
        <x:v>Person</x:v>
      </x:c>
      <x:c r="F483" s="37" t="str">
        <x:v>Borderline</x:v>
      </x:c>
      <x:c r="G483" s="33" t="str">
        <x:v>Strong case for exceptional originality, but I am less certain of equivalence to the user's very high benchmark.</x:v>
      </x:c>
      <x:c r="H483" s="29" t="str">
        <x:v>Chemistry roster</x:v>
      </x:c>
    </x:row>
    <x:row r="484" ht="36" customHeight="1">
      <x:c r="A484" s="29" t="str">
        <x:v>Chemistry</x:v>
      </x:c>
      <x:c r="B484" s="33" t="str">
        <x:v>Christian B. Anfinsen</x:v>
      </x:c>
      <x:c r="C484" s="35" t="n">
        <x:v>1972</x:v>
      </x:c>
      <x:c r="D484" s="36" t="str">
        <x:v>1972</x:v>
      </x:c>
      <x:c r="E484" s="36" t="str">
        <x:v>Person</x:v>
      </x:c>
      <x:c r="F484" s="37" t="str">
        <x:v>Not established here</x:v>
      </x:c>
      <x:c r="G484" s="33" t="str">
        <x:v>Not included in this affirmative shortlist. This is not a finding of non-genius.</x:v>
      </x:c>
      <x:c r="H484" s="29" t="str">
        <x:v>Chemistry roster</x:v>
      </x:c>
    </x:row>
    <x:row r="485" ht="36" customHeight="1">
      <x:c r="A485" s="29" t="str">
        <x:v>Chemistry</x:v>
      </x:c>
      <x:c r="B485" s="33" t="str">
        <x:v>Stanford Moore</x:v>
      </x:c>
      <x:c r="C485" s="35" t="n">
        <x:v>1972</x:v>
      </x:c>
      <x:c r="D485" s="36" t="str">
        <x:v>1972</x:v>
      </x:c>
      <x:c r="E485" s="36" t="str">
        <x:v>Person</x:v>
      </x:c>
      <x:c r="F485" s="37" t="str">
        <x:v>Not established here</x:v>
      </x:c>
      <x:c r="G485" s="33" t="str">
        <x:v>Not included in this affirmative shortlist. This is not a finding of non-genius.</x:v>
      </x:c>
      <x:c r="H485" s="29" t="str">
        <x:v>Chemistry roster</x:v>
      </x:c>
    </x:row>
    <x:row r="486" ht="36" customHeight="1">
      <x:c r="A486" s="29" t="str">
        <x:v>Chemistry</x:v>
      </x:c>
      <x:c r="B486" s="33" t="str">
        <x:v>William Stein</x:v>
      </x:c>
      <x:c r="C486" s="35" t="n">
        <x:v>1972</x:v>
      </x:c>
      <x:c r="D486" s="36" t="str">
        <x:v>1972</x:v>
      </x:c>
      <x:c r="E486" s="36" t="str">
        <x:v>Person</x:v>
      </x:c>
      <x:c r="F486" s="37" t="str">
        <x:v>Not established here</x:v>
      </x:c>
      <x:c r="G486" s="33" t="str">
        <x:v>Not included in this affirmative shortlist. This is not a finding of non-genius.</x:v>
      </x:c>
      <x:c r="H486" s="29" t="str">
        <x:v>Chemistry roster</x:v>
      </x:c>
    </x:row>
    <x:row r="487" ht="36" customHeight="1">
      <x:c r="A487" s="29" t="str">
        <x:v>Chemistry</x:v>
      </x:c>
      <x:c r="B487" s="33" t="str">
        <x:v>Ernst Otto Fischer</x:v>
      </x:c>
      <x:c r="C487" s="35" t="n">
        <x:v>1973</x:v>
      </x:c>
      <x:c r="D487" s="36" t="str">
        <x:v>1973</x:v>
      </x:c>
      <x:c r="E487" s="36" t="str">
        <x:v>Person</x:v>
      </x:c>
      <x:c r="F487" s="37" t="str">
        <x:v>Not established here</x:v>
      </x:c>
      <x:c r="G487" s="33" t="str">
        <x:v>Not included in this affirmative shortlist. This is not a finding of non-genius.</x:v>
      </x:c>
      <x:c r="H487" s="29" t="str">
        <x:v>Chemistry roster</x:v>
      </x:c>
    </x:row>
    <x:row r="488" ht="36" customHeight="1">
      <x:c r="A488" s="29" t="str">
        <x:v>Chemistry</x:v>
      </x:c>
      <x:c r="B488" s="33" t="str">
        <x:v>Geoffrey Wilkinson</x:v>
      </x:c>
      <x:c r="C488" s="35" t="n">
        <x:v>1973</x:v>
      </x:c>
      <x:c r="D488" s="36" t="str">
        <x:v>1973</x:v>
      </x:c>
      <x:c r="E488" s="36" t="str">
        <x:v>Person</x:v>
      </x:c>
      <x:c r="F488" s="37" t="str">
        <x:v>Not established here</x:v>
      </x:c>
      <x:c r="G488" s="33" t="str">
        <x:v>Not included in this affirmative shortlist. This is not a finding of non-genius.</x:v>
      </x:c>
      <x:c r="H488" s="29" t="str">
        <x:v>Chemistry roster</x:v>
      </x:c>
    </x:row>
    <x:row r="489" ht="36" customHeight="1">
      <x:c r="A489" s="29" t="str">
        <x:v>Chemistry</x:v>
      </x:c>
      <x:c r="B489" s="33" t="str">
        <x:v>Paul Flory</x:v>
      </x:c>
      <x:c r="C489" s="35" t="n">
        <x:v>1974</x:v>
      </x:c>
      <x:c r="D489" s="36" t="str">
        <x:v>1974</x:v>
      </x:c>
      <x:c r="E489" s="36" t="str">
        <x:v>Person</x:v>
      </x:c>
      <x:c r="F489" s="37" t="str">
        <x:v>Clear</x:v>
      </x:c>
      <x:c r="G489" s="33" t="str">
        <x:v>Foundational quantitative theories of polymers.</x:v>
      </x:c>
      <x:c r="H489" s="29" t="str">
        <x:v>Chemistry roster</x:v>
      </x:c>
    </x:row>
    <x:row r="490" ht="36" customHeight="1">
      <x:c r="A490" s="29" t="str">
        <x:v>Chemistry</x:v>
      </x:c>
      <x:c r="B490" s="33" t="str">
        <x:v>John Cornforth</x:v>
      </x:c>
      <x:c r="C490" s="35" t="n">
        <x:v>1975</x:v>
      </x:c>
      <x:c r="D490" s="36" t="str">
        <x:v>1975</x:v>
      </x:c>
      <x:c r="E490" s="36" t="str">
        <x:v>Person</x:v>
      </x:c>
      <x:c r="F490" s="37" t="str">
        <x:v>Not established here</x:v>
      </x:c>
      <x:c r="G490" s="33" t="str">
        <x:v>Not included in this affirmative shortlist. This is not a finding of non-genius.</x:v>
      </x:c>
      <x:c r="H490" s="29" t="str">
        <x:v>Chemistry roster</x:v>
      </x:c>
    </x:row>
    <x:row r="491" ht="36" customHeight="1">
      <x:c r="A491" s="29" t="str">
        <x:v>Chemistry</x:v>
      </x:c>
      <x:c r="B491" s="33" t="str">
        <x:v>Vladimir Prelog</x:v>
      </x:c>
      <x:c r="C491" s="35" t="n">
        <x:v>1975</x:v>
      </x:c>
      <x:c r="D491" s="36" t="str">
        <x:v>1975</x:v>
      </x:c>
      <x:c r="E491" s="36" t="str">
        <x:v>Person</x:v>
      </x:c>
      <x:c r="F491" s="37" t="str">
        <x:v>Not established here</x:v>
      </x:c>
      <x:c r="G491" s="33" t="str">
        <x:v>Not included in this affirmative shortlist. This is not a finding of non-genius.</x:v>
      </x:c>
      <x:c r="H491" s="29" t="str">
        <x:v>Chemistry roster</x:v>
      </x:c>
    </x:row>
    <x:row r="492" ht="36" customHeight="1">
      <x:c r="A492" s="29" t="str">
        <x:v>Chemistry</x:v>
      </x:c>
      <x:c r="B492" s="33" t="str">
        <x:v>William Lipscomb</x:v>
      </x:c>
      <x:c r="C492" s="35" t="n">
        <x:v>1976</x:v>
      </x:c>
      <x:c r="D492" s="36" t="str">
        <x:v>1976</x:v>
      </x:c>
      <x:c r="E492" s="36" t="str">
        <x:v>Person</x:v>
      </x:c>
      <x:c r="F492" s="37" t="str">
        <x:v>Not established here</x:v>
      </x:c>
      <x:c r="G492" s="33" t="str">
        <x:v>Not included in this affirmative shortlist. This is not a finding of non-genius.</x:v>
      </x:c>
      <x:c r="H492" s="29" t="str">
        <x:v>Chemistry roster</x:v>
      </x:c>
    </x:row>
    <x:row r="493" ht="36" customHeight="1">
      <x:c r="A493" s="29" t="str">
        <x:v>Chemistry</x:v>
      </x:c>
      <x:c r="B493" s="33" t="str">
        <x:v>Ilya Prigogine</x:v>
      </x:c>
      <x:c r="C493" s="35" t="n">
        <x:v>1977</x:v>
      </x:c>
      <x:c r="D493" s="36" t="str">
        <x:v>1977</x:v>
      </x:c>
      <x:c r="E493" s="36" t="str">
        <x:v>Person</x:v>
      </x:c>
      <x:c r="F493" s="37" t="str">
        <x:v>Borderline</x:v>
      </x:c>
      <x:c r="G493" s="33" t="str">
        <x:v>Strong case for exceptional originality, but I am less certain of equivalence to the user's very high benchmark.</x:v>
      </x:c>
      <x:c r="H493" s="29" t="str">
        <x:v>Chemistry roster</x:v>
      </x:c>
    </x:row>
    <x:row r="494" ht="36" customHeight="1">
      <x:c r="A494" s="29" t="str">
        <x:v>Chemistry</x:v>
      </x:c>
      <x:c r="B494" s="33" t="str">
        <x:v>Peter D. Mitchell</x:v>
      </x:c>
      <x:c r="C494" s="35" t="n">
        <x:v>1978</x:v>
      </x:c>
      <x:c r="D494" s="36" t="str">
        <x:v>1978</x:v>
      </x:c>
      <x:c r="E494" s="36" t="str">
        <x:v>Person</x:v>
      </x:c>
      <x:c r="F494" s="37" t="str">
        <x:v>Clear</x:v>
      </x:c>
      <x:c r="G494" s="33" t="str">
        <x:v>Chemiosmotic theory as a radical mechanistic reconception.</x:v>
      </x:c>
      <x:c r="H494" s="29" t="str">
        <x:v>Chemistry roster</x:v>
      </x:c>
    </x:row>
    <x:row r="495" ht="36" customHeight="1">
      <x:c r="A495" s="29" t="str">
        <x:v>Chemistry</x:v>
      </x:c>
      <x:c r="B495" s="33" t="str">
        <x:v>Georg Wittig</x:v>
      </x:c>
      <x:c r="C495" s="35" t="n">
        <x:v>1979</x:v>
      </x:c>
      <x:c r="D495" s="36" t="str">
        <x:v>1979</x:v>
      </x:c>
      <x:c r="E495" s="36" t="str">
        <x:v>Person</x:v>
      </x:c>
      <x:c r="F495" s="37" t="str">
        <x:v>Borderline</x:v>
      </x:c>
      <x:c r="G495" s="33" t="str">
        <x:v>Strong case for exceptional originality, but I am less certain of equivalence to the user's very high benchmark.</x:v>
      </x:c>
      <x:c r="H495" s="29" t="str">
        <x:v>Chemistry roster</x:v>
      </x:c>
    </x:row>
    <x:row r="496" ht="36" customHeight="1">
      <x:c r="A496" s="29" t="str">
        <x:v>Chemistry</x:v>
      </x:c>
      <x:c r="B496" s="33" t="str">
        <x:v>Herbert C. Brown</x:v>
      </x:c>
      <x:c r="C496" s="35" t="n">
        <x:v>1979</x:v>
      </x:c>
      <x:c r="D496" s="36" t="str">
        <x:v>1979</x:v>
      </x:c>
      <x:c r="E496" s="36" t="str">
        <x:v>Person</x:v>
      </x:c>
      <x:c r="F496" s="37" t="str">
        <x:v>Not established here</x:v>
      </x:c>
      <x:c r="G496" s="33" t="str">
        <x:v>Not included in this affirmative shortlist. This is not a finding of non-genius.</x:v>
      </x:c>
      <x:c r="H496" s="29" t="str">
        <x:v>Chemistry roster</x:v>
      </x:c>
    </x:row>
    <x:row r="497" ht="36" customHeight="1">
      <x:c r="A497" s="29" t="str">
        <x:v>Chemistry</x:v>
      </x:c>
      <x:c r="B497" s="33" t="str">
        <x:v>Paul Berg</x:v>
      </x:c>
      <x:c r="C497" s="35" t="n">
        <x:v>1980</x:v>
      </x:c>
      <x:c r="D497" s="36" t="str">
        <x:v>1980</x:v>
      </x:c>
      <x:c r="E497" s="36" t="str">
        <x:v>Person</x:v>
      </x:c>
      <x:c r="F497" s="37" t="str">
        <x:v>Not established here</x:v>
      </x:c>
      <x:c r="G497" s="33" t="str">
        <x:v>Not included in this affirmative shortlist. This is not a finding of non-genius.</x:v>
      </x:c>
      <x:c r="H497" s="29" t="str">
        <x:v>Chemistry roster</x:v>
      </x:c>
    </x:row>
    <x:row r="498" ht="36" customHeight="1">
      <x:c r="A498" s="29" t="str">
        <x:v>Chemistry</x:v>
      </x:c>
      <x:c r="B498" s="33" t="str">
        <x:v>Walter Gilbert</x:v>
      </x:c>
      <x:c r="C498" s="35" t="n">
        <x:v>1980</x:v>
      </x:c>
      <x:c r="D498" s="36" t="str">
        <x:v>1980</x:v>
      </x:c>
      <x:c r="E498" s="36" t="str">
        <x:v>Person</x:v>
      </x:c>
      <x:c r="F498" s="37" t="str">
        <x:v>Not established here</x:v>
      </x:c>
      <x:c r="G498" s="33" t="str">
        <x:v>Not included in this affirmative shortlist. This is not a finding of non-genius.</x:v>
      </x:c>
      <x:c r="H498" s="29" t="str">
        <x:v>Chemistry roster</x:v>
      </x:c>
    </x:row>
    <x:row r="499" ht="36" customHeight="1">
      <x:c r="A499" s="29" t="str">
        <x:v>Chemistry</x:v>
      </x:c>
      <x:c r="B499" s="33" t="str">
        <x:v>Kenichi Fukui</x:v>
      </x:c>
      <x:c r="C499" s="35" t="n">
        <x:v>1981</x:v>
      </x:c>
      <x:c r="D499" s="36" t="str">
        <x:v>1981</x:v>
      </x:c>
      <x:c r="E499" s="36" t="str">
        <x:v>Person</x:v>
      </x:c>
      <x:c r="F499" s="37" t="str">
        <x:v>Not established here</x:v>
      </x:c>
      <x:c r="G499" s="33" t="str">
        <x:v>Not included in this affirmative shortlist. This is not a finding of non-genius.</x:v>
      </x:c>
      <x:c r="H499" s="29" t="str">
        <x:v>Chemistry roster</x:v>
      </x:c>
    </x:row>
    <x:row r="500" ht="36" customHeight="1">
      <x:c r="A500" s="29" t="str">
        <x:v>Chemistry</x:v>
      </x:c>
      <x:c r="B500" s="33" t="str">
        <x:v>Roald Hoffmann</x:v>
      </x:c>
      <x:c r="C500" s="35" t="n">
        <x:v>1981</x:v>
      </x:c>
      <x:c r="D500" s="36" t="str">
        <x:v>1981</x:v>
      </x:c>
      <x:c r="E500" s="36" t="str">
        <x:v>Person</x:v>
      </x:c>
      <x:c r="F500" s="37" t="str">
        <x:v>Clear</x:v>
      </x:c>
      <x:c r="G500" s="33" t="str">
        <x:v>Original orbital-symmetry reasoning in chemistry.</x:v>
      </x:c>
      <x:c r="H500" s="29" t="str">
        <x:v>Chemistry roster</x:v>
      </x:c>
    </x:row>
    <x:row r="501" ht="36" customHeight="1">
      <x:c r="A501" s="29" t="str">
        <x:v>Chemistry</x:v>
      </x:c>
      <x:c r="B501" s="33" t="str">
        <x:v>Aaron Klug</x:v>
      </x:c>
      <x:c r="C501" s="35" t="n">
        <x:v>1982</x:v>
      </x:c>
      <x:c r="D501" s="36" t="str">
        <x:v>1982</x:v>
      </x:c>
      <x:c r="E501" s="36" t="str">
        <x:v>Person</x:v>
      </x:c>
      <x:c r="F501" s="37" t="str">
        <x:v>Not established here</x:v>
      </x:c>
      <x:c r="G501" s="33" t="str">
        <x:v>Not included in this affirmative shortlist. This is not a finding of non-genius.</x:v>
      </x:c>
      <x:c r="H501" s="29" t="str">
        <x:v>Chemistry roster</x:v>
      </x:c>
    </x:row>
    <x:row r="502" ht="36" customHeight="1">
      <x:c r="A502" s="29" t="str">
        <x:v>Chemistry</x:v>
      </x:c>
      <x:c r="B502" s="33" t="str">
        <x:v>Henry Taube</x:v>
      </x:c>
      <x:c r="C502" s="35" t="n">
        <x:v>1983</x:v>
      </x:c>
      <x:c r="D502" s="36" t="str">
        <x:v>1983</x:v>
      </x:c>
      <x:c r="E502" s="36" t="str">
        <x:v>Person</x:v>
      </x:c>
      <x:c r="F502" s="37" t="str">
        <x:v>Not established here</x:v>
      </x:c>
      <x:c r="G502" s="33" t="str">
        <x:v>Not included in this affirmative shortlist. This is not a finding of non-genius.</x:v>
      </x:c>
      <x:c r="H502" s="29" t="str">
        <x:v>Chemistry roster</x:v>
      </x:c>
    </x:row>
    <x:row r="503" ht="36" customHeight="1">
      <x:c r="A503" s="29" t="str">
        <x:v>Chemistry</x:v>
      </x:c>
      <x:c r="B503" s="33" t="str">
        <x:v>Robert Bruce Merrifield</x:v>
      </x:c>
      <x:c r="C503" s="35" t="n">
        <x:v>1984</x:v>
      </x:c>
      <x:c r="D503" s="36" t="str">
        <x:v>1984</x:v>
      </x:c>
      <x:c r="E503" s="36" t="str">
        <x:v>Person</x:v>
      </x:c>
      <x:c r="F503" s="37" t="str">
        <x:v>Not established here</x:v>
      </x:c>
      <x:c r="G503" s="33" t="str">
        <x:v>Not included in this affirmative shortlist. This is not a finding of non-genius.</x:v>
      </x:c>
      <x:c r="H503" s="29" t="str">
        <x:v>Chemistry roster</x:v>
      </x:c>
    </x:row>
    <x:row r="504" ht="36" customHeight="1">
      <x:c r="A504" s="29" t="str">
        <x:v>Chemistry</x:v>
      </x:c>
      <x:c r="B504" s="33" t="str">
        <x:v>Herbert A. Hauptman</x:v>
      </x:c>
      <x:c r="C504" s="35" t="n">
        <x:v>1985</x:v>
      </x:c>
      <x:c r="D504" s="36" t="str">
        <x:v>1985</x:v>
      </x:c>
      <x:c r="E504" s="36" t="str">
        <x:v>Person</x:v>
      </x:c>
      <x:c r="F504" s="37" t="str">
        <x:v>Borderline</x:v>
      </x:c>
      <x:c r="G504" s="33" t="str">
        <x:v>Strong case for exceptional originality, but I am less certain of equivalence to the user's very high benchmark.</x:v>
      </x:c>
      <x:c r="H504" s="29" t="str">
        <x:v>Chemistry roster</x:v>
      </x:c>
    </x:row>
    <x:row r="505" ht="36" customHeight="1">
      <x:c r="A505" s="29" t="str">
        <x:v>Chemistry</x:v>
      </x:c>
      <x:c r="B505" s="33" t="str">
        <x:v>Jerome Karle</x:v>
      </x:c>
      <x:c r="C505" s="35" t="n">
        <x:v>1985</x:v>
      </x:c>
      <x:c r="D505" s="36" t="str">
        <x:v>1985</x:v>
      </x:c>
      <x:c r="E505" s="36" t="str">
        <x:v>Person</x:v>
      </x:c>
      <x:c r="F505" s="37" t="str">
        <x:v>Borderline</x:v>
      </x:c>
      <x:c r="G505" s="33" t="str">
        <x:v>Strong case for exceptional originality, but I am less certain of equivalence to the user's very high benchmark.</x:v>
      </x:c>
      <x:c r="H505" s="29" t="str">
        <x:v>Chemistry roster</x:v>
      </x:c>
    </x:row>
    <x:row r="506" ht="36" customHeight="1">
      <x:c r="A506" s="29" t="str">
        <x:v>Chemistry</x:v>
      </x:c>
      <x:c r="B506" s="33" t="str">
        <x:v>Dudley R. Herschbach</x:v>
      </x:c>
      <x:c r="C506" s="35" t="n">
        <x:v>1986</x:v>
      </x:c>
      <x:c r="D506" s="36" t="str">
        <x:v>1986</x:v>
      </x:c>
      <x:c r="E506" s="36" t="str">
        <x:v>Person</x:v>
      </x:c>
      <x:c r="F506" s="37" t="str">
        <x:v>Not established here</x:v>
      </x:c>
      <x:c r="G506" s="33" t="str">
        <x:v>Not included in this affirmative shortlist. This is not a finding of non-genius.</x:v>
      </x:c>
      <x:c r="H506" s="29" t="str">
        <x:v>Chemistry roster</x:v>
      </x:c>
    </x:row>
    <x:row r="507" ht="36" customHeight="1">
      <x:c r="A507" s="29" t="str">
        <x:v>Chemistry</x:v>
      </x:c>
      <x:c r="B507" s="33" t="str">
        <x:v>John Polanyi</x:v>
      </x:c>
      <x:c r="C507" s="35" t="n">
        <x:v>1986</x:v>
      </x:c>
      <x:c r="D507" s="36" t="str">
        <x:v>1986</x:v>
      </x:c>
      <x:c r="E507" s="36" t="str">
        <x:v>Person</x:v>
      </x:c>
      <x:c r="F507" s="37" t="str">
        <x:v>Not established here</x:v>
      </x:c>
      <x:c r="G507" s="33" t="str">
        <x:v>Not included in this affirmative shortlist. This is not a finding of non-genius.</x:v>
      </x:c>
      <x:c r="H507" s="29" t="str">
        <x:v>Chemistry roster</x:v>
      </x:c>
    </x:row>
    <x:row r="508" ht="36" customHeight="1">
      <x:c r="A508" s="29" t="str">
        <x:v>Chemistry</x:v>
      </x:c>
      <x:c r="B508" s="33" t="str">
        <x:v>Yuan T. Lee</x:v>
      </x:c>
      <x:c r="C508" s="35" t="n">
        <x:v>1986</x:v>
      </x:c>
      <x:c r="D508" s="36" t="str">
        <x:v>1986</x:v>
      </x:c>
      <x:c r="E508" s="36" t="str">
        <x:v>Person</x:v>
      </x:c>
      <x:c r="F508" s="37" t="str">
        <x:v>Not established here</x:v>
      </x:c>
      <x:c r="G508" s="33" t="str">
        <x:v>Not included in this affirmative shortlist. This is not a finding of non-genius.</x:v>
      </x:c>
      <x:c r="H508" s="29" t="str">
        <x:v>Chemistry roster</x:v>
      </x:c>
    </x:row>
    <x:row r="509" ht="36" customHeight="1">
      <x:c r="A509" s="29" t="str">
        <x:v>Chemistry</x:v>
      </x:c>
      <x:c r="B509" s="33" t="str">
        <x:v>Charles J. Pedersen</x:v>
      </x:c>
      <x:c r="C509" s="35" t="n">
        <x:v>1987</x:v>
      </x:c>
      <x:c r="D509" s="36" t="str">
        <x:v>1987</x:v>
      </x:c>
      <x:c r="E509" s="36" t="str">
        <x:v>Person</x:v>
      </x:c>
      <x:c r="F509" s="37" t="str">
        <x:v>Not established here</x:v>
      </x:c>
      <x:c r="G509" s="33" t="str">
        <x:v>Not included in this affirmative shortlist. This is not a finding of non-genius.</x:v>
      </x:c>
      <x:c r="H509" s="29" t="str">
        <x:v>Chemistry roster</x:v>
      </x:c>
    </x:row>
    <x:row r="510" ht="36" customHeight="1">
      <x:c r="A510" s="29" t="str">
        <x:v>Chemistry</x:v>
      </x:c>
      <x:c r="B510" s="33" t="str">
        <x:v>Donald J. Cram</x:v>
      </x:c>
      <x:c r="C510" s="35" t="n">
        <x:v>1987</x:v>
      </x:c>
      <x:c r="D510" s="36" t="str">
        <x:v>1987</x:v>
      </x:c>
      <x:c r="E510" s="36" t="str">
        <x:v>Person</x:v>
      </x:c>
      <x:c r="F510" s="37" t="str">
        <x:v>Borderline</x:v>
      </x:c>
      <x:c r="G510" s="33" t="str">
        <x:v>Strong case for exceptional originality, but I am less certain of equivalence to the user's very high benchmark.</x:v>
      </x:c>
      <x:c r="H510" s="29" t="str">
        <x:v>Chemistry roster</x:v>
      </x:c>
    </x:row>
    <x:row r="511" ht="36" customHeight="1">
      <x:c r="A511" s="29" t="str">
        <x:v>Chemistry</x:v>
      </x:c>
      <x:c r="B511" s="33" t="str">
        <x:v>Jean-Marie Lehn</x:v>
      </x:c>
      <x:c r="C511" s="35" t="n">
        <x:v>1987</x:v>
      </x:c>
      <x:c r="D511" s="36" t="str">
        <x:v>1987</x:v>
      </x:c>
      <x:c r="E511" s="36" t="str">
        <x:v>Person</x:v>
      </x:c>
      <x:c r="F511" s="37" t="str">
        <x:v>Clear</x:v>
      </x:c>
      <x:c r="G511" s="33" t="str">
        <x:v>Founded supramolecular chemistry as a conceptual programme.</x:v>
      </x:c>
      <x:c r="H511" s="29" t="str">
        <x:v>Chemistry roster</x:v>
      </x:c>
    </x:row>
    <x:row r="512" ht="36" customHeight="1">
      <x:c r="A512" s="29" t="str">
        <x:v>Chemistry</x:v>
      </x:c>
      <x:c r="B512" s="33" t="str">
        <x:v>Hartmut Michel</x:v>
      </x:c>
      <x:c r="C512" s="35" t="n">
        <x:v>1988</x:v>
      </x:c>
      <x:c r="D512" s="36" t="str">
        <x:v>1988</x:v>
      </x:c>
      <x:c r="E512" s="36" t="str">
        <x:v>Person</x:v>
      </x:c>
      <x:c r="F512" s="37" t="str">
        <x:v>Not established here</x:v>
      </x:c>
      <x:c r="G512" s="33" t="str">
        <x:v>Not included in this affirmative shortlist. This is not a finding of non-genius.</x:v>
      </x:c>
      <x:c r="H512" s="29" t="str">
        <x:v>Chemistry roster</x:v>
      </x:c>
    </x:row>
    <x:row r="513" ht="36" customHeight="1">
      <x:c r="A513" s="29" t="str">
        <x:v>Chemistry</x:v>
      </x:c>
      <x:c r="B513" s="33" t="str">
        <x:v>Johann Deisenhofer</x:v>
      </x:c>
      <x:c r="C513" s="35" t="n">
        <x:v>1988</x:v>
      </x:c>
      <x:c r="D513" s="36" t="str">
        <x:v>1988</x:v>
      </x:c>
      <x:c r="E513" s="36" t="str">
        <x:v>Person</x:v>
      </x:c>
      <x:c r="F513" s="37" t="str">
        <x:v>Not established here</x:v>
      </x:c>
      <x:c r="G513" s="33" t="str">
        <x:v>Not included in this affirmative shortlist. This is not a finding of non-genius.</x:v>
      </x:c>
      <x:c r="H513" s="29" t="str">
        <x:v>Chemistry roster</x:v>
      </x:c>
    </x:row>
    <x:row r="514" ht="36" customHeight="1">
      <x:c r="A514" s="29" t="str">
        <x:v>Chemistry</x:v>
      </x:c>
      <x:c r="B514" s="33" t="str">
        <x:v>Robert Huber</x:v>
      </x:c>
      <x:c r="C514" s="35" t="n">
        <x:v>1988</x:v>
      </x:c>
      <x:c r="D514" s="36" t="str">
        <x:v>1988</x:v>
      </x:c>
      <x:c r="E514" s="36" t="str">
        <x:v>Person</x:v>
      </x:c>
      <x:c r="F514" s="37" t="str">
        <x:v>Not established here</x:v>
      </x:c>
      <x:c r="G514" s="33" t="str">
        <x:v>Not included in this affirmative shortlist. This is not a finding of non-genius.</x:v>
      </x:c>
      <x:c r="H514" s="29" t="str">
        <x:v>Chemistry roster</x:v>
      </x:c>
    </x:row>
    <x:row r="515" ht="36" customHeight="1">
      <x:c r="A515" s="29" t="str">
        <x:v>Chemistry</x:v>
      </x:c>
      <x:c r="B515" s="33" t="str">
        <x:v>Sidney Altman</x:v>
      </x:c>
      <x:c r="C515" s="35" t="n">
        <x:v>1989</x:v>
      </x:c>
      <x:c r="D515" s="36" t="str">
        <x:v>1989</x:v>
      </x:c>
      <x:c r="E515" s="36" t="str">
        <x:v>Person</x:v>
      </x:c>
      <x:c r="F515" s="37" t="str">
        <x:v>Not established here</x:v>
      </x:c>
      <x:c r="G515" s="33" t="str">
        <x:v>Not included in this affirmative shortlist. This is not a finding of non-genius.</x:v>
      </x:c>
      <x:c r="H515" s="29" t="str">
        <x:v>Chemistry roster</x:v>
      </x:c>
    </x:row>
    <x:row r="516" ht="36" customHeight="1">
      <x:c r="A516" s="29" t="str">
        <x:v>Chemistry</x:v>
      </x:c>
      <x:c r="B516" s="33" t="str">
        <x:v>Thomas Cech</x:v>
      </x:c>
      <x:c r="C516" s="35" t="n">
        <x:v>1989</x:v>
      </x:c>
      <x:c r="D516" s="36" t="str">
        <x:v>1989</x:v>
      </x:c>
      <x:c r="E516" s="36" t="str">
        <x:v>Person</x:v>
      </x:c>
      <x:c r="F516" s="37" t="str">
        <x:v>Borderline</x:v>
      </x:c>
      <x:c r="G516" s="33" t="str">
        <x:v>Strong case for exceptional originality, but I am less certain of equivalence to the user's very high benchmark.</x:v>
      </x:c>
      <x:c r="H516" s="29" t="str">
        <x:v>Chemistry roster</x:v>
      </x:c>
    </x:row>
    <x:row r="517" ht="36" customHeight="1">
      <x:c r="A517" s="29" t="str">
        <x:v>Chemistry</x:v>
      </x:c>
      <x:c r="B517" s="33" t="str">
        <x:v>Elias James Corey</x:v>
      </x:c>
      <x:c r="C517" s="35" t="n">
        <x:v>1990</x:v>
      </x:c>
      <x:c r="D517" s="36" t="str">
        <x:v>1990</x:v>
      </x:c>
      <x:c r="E517" s="36" t="str">
        <x:v>Person</x:v>
      </x:c>
      <x:c r="F517" s="37" t="str">
        <x:v>Clear</x:v>
      </x:c>
      <x:c r="G517" s="33" t="str">
        <x:v>Retrosynthetic analysis and transformative synthesis methodology.</x:v>
      </x:c>
      <x:c r="H517" s="29" t="str">
        <x:v>Chemistry roster</x:v>
      </x:c>
    </x:row>
    <x:row r="518" ht="36" customHeight="1">
      <x:c r="A518" s="29" t="str">
        <x:v>Chemistry</x:v>
      </x:c>
      <x:c r="B518" s="33" t="str">
        <x:v>Richard R. Ernst</x:v>
      </x:c>
      <x:c r="C518" s="35" t="n">
        <x:v>1991</x:v>
      </x:c>
      <x:c r="D518" s="36" t="str">
        <x:v>1991</x:v>
      </x:c>
      <x:c r="E518" s="36" t="str">
        <x:v>Person</x:v>
      </x:c>
      <x:c r="F518" s="37" t="str">
        <x:v>Not established here</x:v>
      </x:c>
      <x:c r="G518" s="33" t="str">
        <x:v>Not included in this affirmative shortlist. This is not a finding of non-genius.</x:v>
      </x:c>
      <x:c r="H518" s="29" t="str">
        <x:v>Chemistry roster</x:v>
      </x:c>
    </x:row>
    <x:row r="519" ht="36" customHeight="1">
      <x:c r="A519" s="29" t="str">
        <x:v>Chemistry</x:v>
      </x:c>
      <x:c r="B519" s="33" t="str">
        <x:v>Rudolph A. Marcus</x:v>
      </x:c>
      <x:c r="C519" s="35" t="n">
        <x:v>1992</x:v>
      </x:c>
      <x:c r="D519" s="36" t="str">
        <x:v>1992</x:v>
      </x:c>
      <x:c r="E519" s="36" t="str">
        <x:v>Person</x:v>
      </x:c>
      <x:c r="F519" s="37" t="str">
        <x:v>Clear</x:v>
      </x:c>
      <x:c r="G519" s="33" t="str">
        <x:v>Foundational quantitative theory of electron transfer.</x:v>
      </x:c>
      <x:c r="H519" s="29" t="str">
        <x:v>Chemistry roster</x:v>
      </x:c>
    </x:row>
    <x:row r="520" ht="36" customHeight="1">
      <x:c r="A520" s="29" t="str">
        <x:v>Chemistry</x:v>
      </x:c>
      <x:c r="B520" s="33" t="str">
        <x:v>Kary Mullis</x:v>
      </x:c>
      <x:c r="C520" s="35" t="n">
        <x:v>1993</x:v>
      </x:c>
      <x:c r="D520" s="36" t="str">
        <x:v>1993</x:v>
      </x:c>
      <x:c r="E520" s="36" t="str">
        <x:v>Person</x:v>
      </x:c>
      <x:c r="F520" s="37" t="str">
        <x:v>Borderline</x:v>
      </x:c>
      <x:c r="G520" s="33" t="str">
        <x:v>Strong case for exceptional originality, but I am less certain of equivalence to the user's very high benchmark.</x:v>
      </x:c>
      <x:c r="H520" s="29" t="str">
        <x:v>Chemistry roster</x:v>
      </x:c>
    </x:row>
    <x:row r="521" ht="36" customHeight="1">
      <x:c r="A521" s="29" t="str">
        <x:v>Chemistry</x:v>
      </x:c>
      <x:c r="B521" s="33" t="str">
        <x:v>Michael Smith</x:v>
      </x:c>
      <x:c r="C521" s="35" t="n">
        <x:v>1993</x:v>
      </x:c>
      <x:c r="D521" s="36" t="str">
        <x:v>1993</x:v>
      </x:c>
      <x:c r="E521" s="36" t="str">
        <x:v>Person</x:v>
      </x:c>
      <x:c r="F521" s="37" t="str">
        <x:v>Not established here</x:v>
      </x:c>
      <x:c r="G521" s="33" t="str">
        <x:v>Not included in this affirmative shortlist. This is not a finding of non-genius.</x:v>
      </x:c>
      <x:c r="H521" s="29" t="str">
        <x:v>Chemistry roster</x:v>
      </x:c>
    </x:row>
    <x:row r="522" ht="36" customHeight="1">
      <x:c r="A522" s="29" t="str">
        <x:v>Chemistry</x:v>
      </x:c>
      <x:c r="B522" s="33" t="str">
        <x:v>George Olah</x:v>
      </x:c>
      <x:c r="C522" s="35" t="n">
        <x:v>1994</x:v>
      </x:c>
      <x:c r="D522" s="36" t="str">
        <x:v>1994</x:v>
      </x:c>
      <x:c r="E522" s="36" t="str">
        <x:v>Person</x:v>
      </x:c>
      <x:c r="F522" s="37" t="str">
        <x:v>Not established here</x:v>
      </x:c>
      <x:c r="G522" s="33" t="str">
        <x:v>Not included in this affirmative shortlist. This is not a finding of non-genius.</x:v>
      </x:c>
      <x:c r="H522" s="29" t="str">
        <x:v>Chemistry roster</x:v>
      </x:c>
    </x:row>
    <x:row r="523" ht="36" customHeight="1">
      <x:c r="A523" s="29" t="str">
        <x:v>Chemistry</x:v>
      </x:c>
      <x:c r="B523" s="33" t="str">
        <x:v>F. Sherwood Rowland</x:v>
      </x:c>
      <x:c r="C523" s="35" t="n">
        <x:v>1995</x:v>
      </x:c>
      <x:c r="D523" s="36" t="str">
        <x:v>1995</x:v>
      </x:c>
      <x:c r="E523" s="36" t="str">
        <x:v>Person</x:v>
      </x:c>
      <x:c r="F523" s="37" t="str">
        <x:v>Not established here</x:v>
      </x:c>
      <x:c r="G523" s="33" t="str">
        <x:v>Not included in this affirmative shortlist. This is not a finding of non-genius.</x:v>
      </x:c>
      <x:c r="H523" s="29" t="str">
        <x:v>Chemistry roster</x:v>
      </x:c>
    </x:row>
    <x:row r="524" ht="36" customHeight="1">
      <x:c r="A524" s="29" t="str">
        <x:v>Chemistry</x:v>
      </x:c>
      <x:c r="B524" s="33" t="str">
        <x:v>Mario J. Molina</x:v>
      </x:c>
      <x:c r="C524" s="35" t="n">
        <x:v>1995</x:v>
      </x:c>
      <x:c r="D524" s="36" t="str">
        <x:v>1995</x:v>
      </x:c>
      <x:c r="E524" s="36" t="str">
        <x:v>Person</x:v>
      </x:c>
      <x:c r="F524" s="37" t="str">
        <x:v>Not established here</x:v>
      </x:c>
      <x:c r="G524" s="33" t="str">
        <x:v>Not included in this affirmative shortlist. This is not a finding of non-genius.</x:v>
      </x:c>
      <x:c r="H524" s="29" t="str">
        <x:v>Chemistry roster</x:v>
      </x:c>
    </x:row>
    <x:row r="525" ht="36" customHeight="1">
      <x:c r="A525" s="29" t="str">
        <x:v>Chemistry</x:v>
      </x:c>
      <x:c r="B525" s="33" t="str">
        <x:v>Paul J. Crutzen</x:v>
      </x:c>
      <x:c r="C525" s="35" t="n">
        <x:v>1995</x:v>
      </x:c>
      <x:c r="D525" s="36" t="str">
        <x:v>1995</x:v>
      </x:c>
      <x:c r="E525" s="36" t="str">
        <x:v>Person</x:v>
      </x:c>
      <x:c r="F525" s="37" t="str">
        <x:v>Not established here</x:v>
      </x:c>
      <x:c r="G525" s="33" t="str">
        <x:v>Not included in this affirmative shortlist. This is not a finding of non-genius.</x:v>
      </x:c>
      <x:c r="H525" s="29" t="str">
        <x:v>Chemistry roster</x:v>
      </x:c>
    </x:row>
    <x:row r="526" ht="36" customHeight="1">
      <x:c r="A526" s="29" t="str">
        <x:v>Chemistry</x:v>
      </x:c>
      <x:c r="B526" s="33" t="str">
        <x:v>Harry Kroto</x:v>
      </x:c>
      <x:c r="C526" s="35" t="n">
        <x:v>1996</x:v>
      </x:c>
      <x:c r="D526" s="36" t="str">
        <x:v>1996</x:v>
      </x:c>
      <x:c r="E526" s="36" t="str">
        <x:v>Person</x:v>
      </x:c>
      <x:c r="F526" s="37" t="str">
        <x:v>Not established here</x:v>
      </x:c>
      <x:c r="G526" s="33" t="str">
        <x:v>Not included in this affirmative shortlist. This is not a finding of non-genius.</x:v>
      </x:c>
      <x:c r="H526" s="29" t="str">
        <x:v>Chemistry roster</x:v>
      </x:c>
    </x:row>
    <x:row r="527" ht="36" customHeight="1">
      <x:c r="A527" s="29" t="str">
        <x:v>Chemistry</x:v>
      </x:c>
      <x:c r="B527" s="33" t="str">
        <x:v>Richard Smalley</x:v>
      </x:c>
      <x:c r="C527" s="35" t="n">
        <x:v>1996</x:v>
      </x:c>
      <x:c r="D527" s="36" t="str">
        <x:v>1996</x:v>
      </x:c>
      <x:c r="E527" s="36" t="str">
        <x:v>Person</x:v>
      </x:c>
      <x:c r="F527" s="37" t="str">
        <x:v>Not established here</x:v>
      </x:c>
      <x:c r="G527" s="33" t="str">
        <x:v>Not included in this affirmative shortlist. This is not a finding of non-genius.</x:v>
      </x:c>
      <x:c r="H527" s="29" t="str">
        <x:v>Chemistry roster</x:v>
      </x:c>
    </x:row>
    <x:row r="528" ht="36" customHeight="1">
      <x:c r="A528" s="29" t="str">
        <x:v>Chemistry</x:v>
      </x:c>
      <x:c r="B528" s="33" t="str">
        <x:v>Robert Curl</x:v>
      </x:c>
      <x:c r="C528" s="35" t="n">
        <x:v>1996</x:v>
      </x:c>
      <x:c r="D528" s="36" t="str">
        <x:v>1996</x:v>
      </x:c>
      <x:c r="E528" s="36" t="str">
        <x:v>Person</x:v>
      </x:c>
      <x:c r="F528" s="37" t="str">
        <x:v>Not established here</x:v>
      </x:c>
      <x:c r="G528" s="33" t="str">
        <x:v>Not included in this affirmative shortlist. This is not a finding of non-genius.</x:v>
      </x:c>
      <x:c r="H528" s="29" t="str">
        <x:v>Chemistry roster</x:v>
      </x:c>
    </x:row>
    <x:row r="529" ht="36" customHeight="1">
      <x:c r="A529" s="29" t="str">
        <x:v>Chemistry</x:v>
      </x:c>
      <x:c r="B529" s="33" t="str">
        <x:v>Jens Skou</x:v>
      </x:c>
      <x:c r="C529" s="35" t="n">
        <x:v>1997</x:v>
      </x:c>
      <x:c r="D529" s="36" t="str">
        <x:v>1997</x:v>
      </x:c>
      <x:c r="E529" s="36" t="str">
        <x:v>Person</x:v>
      </x:c>
      <x:c r="F529" s="37" t="str">
        <x:v>Not established here</x:v>
      </x:c>
      <x:c r="G529" s="33" t="str">
        <x:v>Not included in this affirmative shortlist. This is not a finding of non-genius.</x:v>
      </x:c>
      <x:c r="H529" s="29" t="str">
        <x:v>Chemistry roster</x:v>
      </x:c>
    </x:row>
    <x:row r="530" ht="36" customHeight="1">
      <x:c r="A530" s="29" t="str">
        <x:v>Chemistry</x:v>
      </x:c>
      <x:c r="B530" s="33" t="str">
        <x:v>John E. Walker</x:v>
      </x:c>
      <x:c r="C530" s="35" t="n">
        <x:v>1997</x:v>
      </x:c>
      <x:c r="D530" s="36" t="str">
        <x:v>1997</x:v>
      </x:c>
      <x:c r="E530" s="36" t="str">
        <x:v>Person</x:v>
      </x:c>
      <x:c r="F530" s="37" t="str">
        <x:v>Not established here</x:v>
      </x:c>
      <x:c r="G530" s="33" t="str">
        <x:v>Not included in this affirmative shortlist. This is not a finding of non-genius.</x:v>
      </x:c>
      <x:c r="H530" s="29" t="str">
        <x:v>Chemistry roster</x:v>
      </x:c>
    </x:row>
    <x:row r="531" ht="36" customHeight="1">
      <x:c r="A531" s="29" t="str">
        <x:v>Chemistry</x:v>
      </x:c>
      <x:c r="B531" s="33" t="str">
        <x:v>Paul D. Boyer</x:v>
      </x:c>
      <x:c r="C531" s="35" t="n">
        <x:v>1997</x:v>
      </x:c>
      <x:c r="D531" s="36" t="str">
        <x:v>1997</x:v>
      </x:c>
      <x:c r="E531" s="36" t="str">
        <x:v>Person</x:v>
      </x:c>
      <x:c r="F531" s="37" t="str">
        <x:v>Not established here</x:v>
      </x:c>
      <x:c r="G531" s="33" t="str">
        <x:v>Not included in this affirmative shortlist. This is not a finding of non-genius.</x:v>
      </x:c>
      <x:c r="H531" s="29" t="str">
        <x:v>Chemistry roster</x:v>
      </x:c>
    </x:row>
    <x:row r="532" ht="36" customHeight="1">
      <x:c r="A532" s="29" t="str">
        <x:v>Chemistry</x:v>
      </x:c>
      <x:c r="B532" s="33" t="str">
        <x:v>John Pople</x:v>
      </x:c>
      <x:c r="C532" s="35" t="n">
        <x:v>1998</x:v>
      </x:c>
      <x:c r="D532" s="36" t="str">
        <x:v>1998</x:v>
      </x:c>
      <x:c r="E532" s="36" t="str">
        <x:v>Person</x:v>
      </x:c>
      <x:c r="F532" s="37" t="str">
        <x:v>Not established here</x:v>
      </x:c>
      <x:c r="G532" s="33" t="str">
        <x:v>Not included in this affirmative shortlist. This is not a finding of non-genius.</x:v>
      </x:c>
      <x:c r="H532" s="29" t="str">
        <x:v>Chemistry roster</x:v>
      </x:c>
    </x:row>
    <x:row r="533" ht="36" customHeight="1">
      <x:c r="A533" s="29" t="str">
        <x:v>Chemistry</x:v>
      </x:c>
      <x:c r="B533" s="33" t="str">
        <x:v>Walter Kohn</x:v>
      </x:c>
      <x:c r="C533" s="35" t="n">
        <x:v>1998</x:v>
      </x:c>
      <x:c r="D533" s="36" t="str">
        <x:v>1998</x:v>
      </x:c>
      <x:c r="E533" s="36" t="str">
        <x:v>Person</x:v>
      </x:c>
      <x:c r="F533" s="37" t="str">
        <x:v>Clear</x:v>
      </x:c>
      <x:c r="G533" s="33" t="str">
        <x:v>Density-functional theory and broad theoretical originality.</x:v>
      </x:c>
      <x:c r="H533" s="29" t="str">
        <x:v>Chemistry roster</x:v>
      </x:c>
    </x:row>
    <x:row r="534" ht="36" customHeight="1">
      <x:c r="A534" s="29" t="str">
        <x:v>Chemistry</x:v>
      </x:c>
      <x:c r="B534" s="33" t="str">
        <x:v>Ahmed Zewail</x:v>
      </x:c>
      <x:c r="C534" s="35" t="n">
        <x:v>1999</x:v>
      </x:c>
      <x:c r="D534" s="36" t="str">
        <x:v>1999</x:v>
      </x:c>
      <x:c r="E534" s="36" t="str">
        <x:v>Person</x:v>
      </x:c>
      <x:c r="F534" s="37" t="str">
        <x:v>Not established here</x:v>
      </x:c>
      <x:c r="G534" s="33" t="str">
        <x:v>Not included in this affirmative shortlist. This is not a finding of non-genius.</x:v>
      </x:c>
      <x:c r="H534" s="29" t="str">
        <x:v>Chemistry roster</x:v>
      </x:c>
    </x:row>
    <x:row r="535" ht="36" customHeight="1">
      <x:c r="A535" s="29" t="str">
        <x:v>Chemistry</x:v>
      </x:c>
      <x:c r="B535" s="33" t="str">
        <x:v>Alan J. Heeger</x:v>
      </x:c>
      <x:c r="C535" s="35" t="n">
        <x:v>2000</x:v>
      </x:c>
      <x:c r="D535" s="36" t="str">
        <x:v>2000</x:v>
      </x:c>
      <x:c r="E535" s="36" t="str">
        <x:v>Person</x:v>
      </x:c>
      <x:c r="F535" s="37" t="str">
        <x:v>Not established here</x:v>
      </x:c>
      <x:c r="G535" s="33" t="str">
        <x:v>Not included in this affirmative shortlist. This is not a finding of non-genius.</x:v>
      </x:c>
      <x:c r="H535" s="29" t="str">
        <x:v>Chemistry roster</x:v>
      </x:c>
    </x:row>
    <x:row r="536" ht="36" customHeight="1">
      <x:c r="A536" s="29" t="str">
        <x:v>Chemistry</x:v>
      </x:c>
      <x:c r="B536" s="33" t="str">
        <x:v>Alan MacDiarmid</x:v>
      </x:c>
      <x:c r="C536" s="35" t="n">
        <x:v>2000</x:v>
      </x:c>
      <x:c r="D536" s="36" t="str">
        <x:v>2000</x:v>
      </x:c>
      <x:c r="E536" s="36" t="str">
        <x:v>Person</x:v>
      </x:c>
      <x:c r="F536" s="37" t="str">
        <x:v>Not established here</x:v>
      </x:c>
      <x:c r="G536" s="33" t="str">
        <x:v>Not included in this affirmative shortlist. This is not a finding of non-genius.</x:v>
      </x:c>
      <x:c r="H536" s="29" t="str">
        <x:v>Chemistry roster</x:v>
      </x:c>
    </x:row>
    <x:row r="537" ht="36" customHeight="1">
      <x:c r="A537" s="29" t="str">
        <x:v>Chemistry</x:v>
      </x:c>
      <x:c r="B537" s="33" t="str">
        <x:v>Hideki Shirakawa</x:v>
      </x:c>
      <x:c r="C537" s="35" t="n">
        <x:v>2000</x:v>
      </x:c>
      <x:c r="D537" s="36" t="str">
        <x:v>2000</x:v>
      </x:c>
      <x:c r="E537" s="36" t="str">
        <x:v>Person</x:v>
      </x:c>
      <x:c r="F537" s="37" t="str">
        <x:v>Not established here</x:v>
      </x:c>
      <x:c r="G537" s="33" t="str">
        <x:v>Not included in this affirmative shortlist. This is not a finding of non-genius.</x:v>
      </x:c>
      <x:c r="H537" s="29" t="str">
        <x:v>Chemistry roster</x:v>
      </x:c>
    </x:row>
    <x:row r="538" ht="36" customHeight="1">
      <x:c r="A538" s="29" t="str">
        <x:v>Chemistry</x:v>
      </x:c>
      <x:c r="B538" s="33" t="str">
        <x:v>Barry Sharpless</x:v>
      </x:c>
      <x:c r="C538" s="35" t="n">
        <x:v>2001</x:v>
      </x:c>
      <x:c r="D538" s="36" t="str">
        <x:v>2001, 2022</x:v>
      </x:c>
      <x:c r="E538" s="36" t="str">
        <x:v>Person</x:v>
      </x:c>
      <x:c r="F538" s="37" t="str">
        <x:v>Clear</x:v>
      </x:c>
      <x:c r="G538" s="33" t="str">
        <x:v>Repeated conceptual innovations in synthesis and click chemistry.</x:v>
      </x:c>
      <x:c r="H538" s="29" t="str">
        <x:v>Chemistry roster</x:v>
      </x:c>
    </x:row>
    <x:row r="539" ht="36" customHeight="1">
      <x:c r="A539" s="29" t="str">
        <x:v>Chemistry</x:v>
      </x:c>
      <x:c r="B539" s="33" t="str">
        <x:v>Ryōji Noyori</x:v>
      </x:c>
      <x:c r="C539" s="35" t="n">
        <x:v>2001</x:v>
      </x:c>
      <x:c r="D539" s="36" t="str">
        <x:v>2001</x:v>
      </x:c>
      <x:c r="E539" s="36" t="str">
        <x:v>Person</x:v>
      </x:c>
      <x:c r="F539" s="37" t="str">
        <x:v>Not established here</x:v>
      </x:c>
      <x:c r="G539" s="33" t="str">
        <x:v>Not included in this affirmative shortlist. This is not a finding of non-genius.</x:v>
      </x:c>
      <x:c r="H539" s="29" t="str">
        <x:v>Chemistry roster</x:v>
      </x:c>
    </x:row>
    <x:row r="540" ht="36" customHeight="1">
      <x:c r="A540" s="29" t="str">
        <x:v>Chemistry</x:v>
      </x:c>
      <x:c r="B540" s="33" t="str">
        <x:v>William Knowles</x:v>
      </x:c>
      <x:c r="C540" s="35" t="n">
        <x:v>2001</x:v>
      </x:c>
      <x:c r="D540" s="36" t="str">
        <x:v>2001</x:v>
      </x:c>
      <x:c r="E540" s="36" t="str">
        <x:v>Person</x:v>
      </x:c>
      <x:c r="F540" s="37" t="str">
        <x:v>Not established here</x:v>
      </x:c>
      <x:c r="G540" s="33" t="str">
        <x:v>Not included in this affirmative shortlist. This is not a finding of non-genius.</x:v>
      </x:c>
      <x:c r="H540" s="29" t="str">
        <x:v>Chemistry roster</x:v>
      </x:c>
    </x:row>
    <x:row r="541" ht="36" customHeight="1">
      <x:c r="A541" s="29" t="str">
        <x:v>Chemistry</x:v>
      </x:c>
      <x:c r="B541" s="33" t="str">
        <x:v>John Fenn</x:v>
      </x:c>
      <x:c r="C541" s="35" t="n">
        <x:v>2002</x:v>
      </x:c>
      <x:c r="D541" s="36" t="str">
        <x:v>2002</x:v>
      </x:c>
      <x:c r="E541" s="36" t="str">
        <x:v>Person</x:v>
      </x:c>
      <x:c r="F541" s="37" t="str">
        <x:v>Not established here</x:v>
      </x:c>
      <x:c r="G541" s="33" t="str">
        <x:v>Not included in this affirmative shortlist. This is not a finding of non-genius.</x:v>
      </x:c>
      <x:c r="H541" s="29" t="str">
        <x:v>Chemistry roster</x:v>
      </x:c>
    </x:row>
    <x:row r="542" ht="36" customHeight="1">
      <x:c r="A542" s="29" t="str">
        <x:v>Chemistry</x:v>
      </x:c>
      <x:c r="B542" s="33" t="str">
        <x:v>Koichi Tanaka</x:v>
      </x:c>
      <x:c r="C542" s="35" t="n">
        <x:v>2002</x:v>
      </x:c>
      <x:c r="D542" s="36" t="str">
        <x:v>2002</x:v>
      </x:c>
      <x:c r="E542" s="36" t="str">
        <x:v>Person</x:v>
      </x:c>
      <x:c r="F542" s="37" t="str">
        <x:v>Not established here</x:v>
      </x:c>
      <x:c r="G542" s="33" t="str">
        <x:v>Not included in this affirmative shortlist. This is not a finding of non-genius.</x:v>
      </x:c>
      <x:c r="H542" s="29" t="str">
        <x:v>Chemistry roster</x:v>
      </x:c>
    </x:row>
    <x:row r="543" ht="36" customHeight="1">
      <x:c r="A543" s="29" t="str">
        <x:v>Chemistry</x:v>
      </x:c>
      <x:c r="B543" s="33" t="str">
        <x:v>Kurt Wüthrich</x:v>
      </x:c>
      <x:c r="C543" s="35" t="n">
        <x:v>2002</x:v>
      </x:c>
      <x:c r="D543" s="36" t="str">
        <x:v>2002</x:v>
      </x:c>
      <x:c r="E543" s="36" t="str">
        <x:v>Person</x:v>
      </x:c>
      <x:c r="F543" s="37" t="str">
        <x:v>Not established here</x:v>
      </x:c>
      <x:c r="G543" s="33" t="str">
        <x:v>Not included in this affirmative shortlist. This is not a finding of non-genius.</x:v>
      </x:c>
      <x:c r="H543" s="29" t="str">
        <x:v>Chemistry roster</x:v>
      </x:c>
    </x:row>
    <x:row r="544" ht="36" customHeight="1">
      <x:c r="A544" s="29" t="str">
        <x:v>Chemistry</x:v>
      </x:c>
      <x:c r="B544" s="33" t="str">
        <x:v>Peter Agre</x:v>
      </x:c>
      <x:c r="C544" s="35" t="n">
        <x:v>2003</x:v>
      </x:c>
      <x:c r="D544" s="36" t="str">
        <x:v>2003</x:v>
      </x:c>
      <x:c r="E544" s="36" t="str">
        <x:v>Person</x:v>
      </x:c>
      <x:c r="F544" s="37" t="str">
        <x:v>Not established here</x:v>
      </x:c>
      <x:c r="G544" s="33" t="str">
        <x:v>Not included in this affirmative shortlist. This is not a finding of non-genius.</x:v>
      </x:c>
      <x:c r="H544" s="29" t="str">
        <x:v>Chemistry roster</x:v>
      </x:c>
    </x:row>
    <x:row r="545" ht="36" customHeight="1">
      <x:c r="A545" s="29" t="str">
        <x:v>Chemistry</x:v>
      </x:c>
      <x:c r="B545" s="33" t="str">
        <x:v>Roderick MacKinnon</x:v>
      </x:c>
      <x:c r="C545" s="35" t="n">
        <x:v>2003</x:v>
      </x:c>
      <x:c r="D545" s="36" t="str">
        <x:v>2003</x:v>
      </x:c>
      <x:c r="E545" s="36" t="str">
        <x:v>Person</x:v>
      </x:c>
      <x:c r="F545" s="37" t="str">
        <x:v>Not established here</x:v>
      </x:c>
      <x:c r="G545" s="33" t="str">
        <x:v>Not included in this affirmative shortlist. This is not a finding of non-genius.</x:v>
      </x:c>
      <x:c r="H545" s="29" t="str">
        <x:v>Chemistry roster</x:v>
      </x:c>
    </x:row>
    <x:row r="546" ht="36" customHeight="1">
      <x:c r="A546" s="29" t="str">
        <x:v>Chemistry</x:v>
      </x:c>
      <x:c r="B546" s="33" t="str">
        <x:v>Aaron Ciechanover</x:v>
      </x:c>
      <x:c r="C546" s="35" t="n">
        <x:v>2004</x:v>
      </x:c>
      <x:c r="D546" s="36" t="str">
        <x:v>2004</x:v>
      </x:c>
      <x:c r="E546" s="36" t="str">
        <x:v>Person</x:v>
      </x:c>
      <x:c r="F546" s="37" t="str">
        <x:v>Not established here</x:v>
      </x:c>
      <x:c r="G546" s="33" t="str">
        <x:v>Not included in this affirmative shortlist. This is not a finding of non-genius.</x:v>
      </x:c>
      <x:c r="H546" s="29" t="str">
        <x:v>Chemistry roster</x:v>
      </x:c>
    </x:row>
    <x:row r="547" ht="36" customHeight="1">
      <x:c r="A547" s="29" t="str">
        <x:v>Chemistry</x:v>
      </x:c>
      <x:c r="B547" s="33" t="str">
        <x:v>Avram Hershko</x:v>
      </x:c>
      <x:c r="C547" s="35" t="n">
        <x:v>2004</x:v>
      </x:c>
      <x:c r="D547" s="36" t="str">
        <x:v>2004</x:v>
      </x:c>
      <x:c r="E547" s="36" t="str">
        <x:v>Person</x:v>
      </x:c>
      <x:c r="F547" s="37" t="str">
        <x:v>Not established here</x:v>
      </x:c>
      <x:c r="G547" s="33" t="str">
        <x:v>Not included in this affirmative shortlist. This is not a finding of non-genius.</x:v>
      </x:c>
      <x:c r="H547" s="29" t="str">
        <x:v>Chemistry roster</x:v>
      </x:c>
    </x:row>
    <x:row r="548" ht="36" customHeight="1">
      <x:c r="A548" s="29" t="str">
        <x:v>Chemistry</x:v>
      </x:c>
      <x:c r="B548" s="33" t="str">
        <x:v>Irwin Rose</x:v>
      </x:c>
      <x:c r="C548" s="35" t="n">
        <x:v>2004</x:v>
      </x:c>
      <x:c r="D548" s="36" t="str">
        <x:v>2004</x:v>
      </x:c>
      <x:c r="E548" s="36" t="str">
        <x:v>Person</x:v>
      </x:c>
      <x:c r="F548" s="37" t="str">
        <x:v>Not established here</x:v>
      </x:c>
      <x:c r="G548" s="33" t="str">
        <x:v>Not included in this affirmative shortlist. This is not a finding of non-genius.</x:v>
      </x:c>
      <x:c r="H548" s="29" t="str">
        <x:v>Chemistry roster</x:v>
      </x:c>
    </x:row>
    <x:row r="549" ht="36" customHeight="1">
      <x:c r="A549" s="29" t="str">
        <x:v>Chemistry</x:v>
      </x:c>
      <x:c r="B549" s="33" t="str">
        <x:v>Richard R. Schrock</x:v>
      </x:c>
      <x:c r="C549" s="35" t="n">
        <x:v>2005</x:v>
      </x:c>
      <x:c r="D549" s="36" t="str">
        <x:v>2005</x:v>
      </x:c>
      <x:c r="E549" s="36" t="str">
        <x:v>Person</x:v>
      </x:c>
      <x:c r="F549" s="37" t="str">
        <x:v>Not established here</x:v>
      </x:c>
      <x:c r="G549" s="33" t="str">
        <x:v>Not included in this affirmative shortlist. This is not a finding of non-genius.</x:v>
      </x:c>
      <x:c r="H549" s="29" t="str">
        <x:v>Chemistry roster</x:v>
      </x:c>
    </x:row>
    <x:row r="550" ht="36" customHeight="1">
      <x:c r="A550" s="29" t="str">
        <x:v>Chemistry</x:v>
      </x:c>
      <x:c r="B550" s="33" t="str">
        <x:v>Robert H. Grubbs</x:v>
      </x:c>
      <x:c r="C550" s="35" t="n">
        <x:v>2005</x:v>
      </x:c>
      <x:c r="D550" s="36" t="str">
        <x:v>2005</x:v>
      </x:c>
      <x:c r="E550" s="36" t="str">
        <x:v>Person</x:v>
      </x:c>
      <x:c r="F550" s="37" t="str">
        <x:v>Not established here</x:v>
      </x:c>
      <x:c r="G550" s="33" t="str">
        <x:v>Not included in this affirmative shortlist. This is not a finding of non-genius.</x:v>
      </x:c>
      <x:c r="H550" s="29" t="str">
        <x:v>Chemistry roster</x:v>
      </x:c>
    </x:row>
    <x:row r="551" ht="36" customHeight="1">
      <x:c r="A551" s="29" t="str">
        <x:v>Chemistry</x:v>
      </x:c>
      <x:c r="B551" s="33" t="str">
        <x:v>Yves Chauvin</x:v>
      </x:c>
      <x:c r="C551" s="35" t="n">
        <x:v>2005</x:v>
      </x:c>
      <x:c r="D551" s="36" t="str">
        <x:v>2005</x:v>
      </x:c>
      <x:c r="E551" s="36" t="str">
        <x:v>Person</x:v>
      </x:c>
      <x:c r="F551" s="37" t="str">
        <x:v>Not established here</x:v>
      </x:c>
      <x:c r="G551" s="33" t="str">
        <x:v>Not included in this affirmative shortlist. This is not a finding of non-genius.</x:v>
      </x:c>
      <x:c r="H551" s="29" t="str">
        <x:v>Chemistry roster</x:v>
      </x:c>
    </x:row>
    <x:row r="552" ht="36" customHeight="1">
      <x:c r="A552" s="29" t="str">
        <x:v>Chemistry</x:v>
      </x:c>
      <x:c r="B552" s="33" t="str">
        <x:v>Roger D. Kornberg</x:v>
      </x:c>
      <x:c r="C552" s="35" t="n">
        <x:v>2006</x:v>
      </x:c>
      <x:c r="D552" s="36" t="str">
        <x:v>2006</x:v>
      </x:c>
      <x:c r="E552" s="36" t="str">
        <x:v>Person</x:v>
      </x:c>
      <x:c r="F552" s="37" t="str">
        <x:v>Borderline</x:v>
      </x:c>
      <x:c r="G552" s="33" t="str">
        <x:v>Strong case for exceptional originality, but I am less certain of equivalence to the user's very high benchmark.</x:v>
      </x:c>
      <x:c r="H552" s="29" t="str">
        <x:v>Chemistry roster</x:v>
      </x:c>
    </x:row>
    <x:row r="553" ht="36" customHeight="1">
      <x:c r="A553" s="29" t="str">
        <x:v>Chemistry</x:v>
      </x:c>
      <x:c r="B553" s="33" t="str">
        <x:v>Gerhard Ertl</x:v>
      </x:c>
      <x:c r="C553" s="35" t="n">
        <x:v>2007</x:v>
      </x:c>
      <x:c r="D553" s="36" t="str">
        <x:v>2007</x:v>
      </x:c>
      <x:c r="E553" s="36" t="str">
        <x:v>Person</x:v>
      </x:c>
      <x:c r="F553" s="37" t="str">
        <x:v>Not established here</x:v>
      </x:c>
      <x:c r="G553" s="33" t="str">
        <x:v>Not included in this affirmative shortlist. This is not a finding of non-genius.</x:v>
      </x:c>
      <x:c r="H553" s="29" t="str">
        <x:v>Chemistry roster</x:v>
      </x:c>
    </x:row>
    <x:row r="554" ht="36" customHeight="1">
      <x:c r="A554" s="29" t="str">
        <x:v>Chemistry</x:v>
      </x:c>
      <x:c r="B554" s="33" t="str">
        <x:v>Martin Chalfie</x:v>
      </x:c>
      <x:c r="C554" s="35" t="n">
        <x:v>2008</x:v>
      </x:c>
      <x:c r="D554" s="36" t="str">
        <x:v>2008</x:v>
      </x:c>
      <x:c r="E554" s="36" t="str">
        <x:v>Person</x:v>
      </x:c>
      <x:c r="F554" s="37" t="str">
        <x:v>Not established here</x:v>
      </x:c>
      <x:c r="G554" s="33" t="str">
        <x:v>Not included in this affirmative shortlist. This is not a finding of non-genius.</x:v>
      </x:c>
      <x:c r="H554" s="29" t="str">
        <x:v>Chemistry roster</x:v>
      </x:c>
    </x:row>
    <x:row r="555" ht="36" customHeight="1">
      <x:c r="A555" s="29" t="str">
        <x:v>Chemistry</x:v>
      </x:c>
      <x:c r="B555" s="33" t="str">
        <x:v>Osamu Shimomura</x:v>
      </x:c>
      <x:c r="C555" s="35" t="n">
        <x:v>2008</x:v>
      </x:c>
      <x:c r="D555" s="36" t="str">
        <x:v>2008</x:v>
      </x:c>
      <x:c r="E555" s="36" t="str">
        <x:v>Person</x:v>
      </x:c>
      <x:c r="F555" s="37" t="str">
        <x:v>Not established here</x:v>
      </x:c>
      <x:c r="G555" s="33" t="str">
        <x:v>Not included in this affirmative shortlist. This is not a finding of non-genius.</x:v>
      </x:c>
      <x:c r="H555" s="29" t="str">
        <x:v>Chemistry roster</x:v>
      </x:c>
    </x:row>
    <x:row r="556" ht="36" customHeight="1">
      <x:c r="A556" s="29" t="str">
        <x:v>Chemistry</x:v>
      </x:c>
      <x:c r="B556" s="33" t="str">
        <x:v>Roger Y. Tsien</x:v>
      </x:c>
      <x:c r="C556" s="35" t="n">
        <x:v>2008</x:v>
      </x:c>
      <x:c r="D556" s="36" t="str">
        <x:v>2008</x:v>
      </x:c>
      <x:c r="E556" s="36" t="str">
        <x:v>Person</x:v>
      </x:c>
      <x:c r="F556" s="37" t="str">
        <x:v>Clear</x:v>
      </x:c>
      <x:c r="G556" s="33" t="str">
        <x:v>Repeated ingenious molecular tools for observing biology.</x:v>
      </x:c>
      <x:c r="H556" s="29" t="str">
        <x:v>Chemistry roster</x:v>
      </x:c>
    </x:row>
    <x:row r="557" ht="36" customHeight="1">
      <x:c r="A557" s="29" t="str">
        <x:v>Chemistry</x:v>
      </x:c>
      <x:c r="B557" s="33" t="str">
        <x:v>Ada Yonath</x:v>
      </x:c>
      <x:c r="C557" s="35" t="n">
        <x:v>2009</x:v>
      </x:c>
      <x:c r="D557" s="36" t="str">
        <x:v>2009</x:v>
      </x:c>
      <x:c r="E557" s="36" t="str">
        <x:v>Person</x:v>
      </x:c>
      <x:c r="F557" s="37" t="str">
        <x:v>Not established here</x:v>
      </x:c>
      <x:c r="G557" s="33" t="str">
        <x:v>Not included in this affirmative shortlist. This is not a finding of non-genius.</x:v>
      </x:c>
      <x:c r="H557" s="29" t="str">
        <x:v>Chemistry roster</x:v>
      </x:c>
    </x:row>
    <x:row r="558" ht="36" customHeight="1">
      <x:c r="A558" s="29" t="str">
        <x:v>Chemistry</x:v>
      </x:c>
      <x:c r="B558" s="33" t="str">
        <x:v>Thomas A. Steitz</x:v>
      </x:c>
      <x:c r="C558" s="35" t="n">
        <x:v>2009</x:v>
      </x:c>
      <x:c r="D558" s="36" t="str">
        <x:v>2009</x:v>
      </x:c>
      <x:c r="E558" s="36" t="str">
        <x:v>Person</x:v>
      </x:c>
      <x:c r="F558" s="37" t="str">
        <x:v>Not established here</x:v>
      </x:c>
      <x:c r="G558" s="33" t="str">
        <x:v>Not included in this affirmative shortlist. This is not a finding of non-genius.</x:v>
      </x:c>
      <x:c r="H558" s="29" t="str">
        <x:v>Chemistry roster</x:v>
      </x:c>
    </x:row>
    <x:row r="559" ht="36" customHeight="1">
      <x:c r="A559" s="29" t="str">
        <x:v>Chemistry</x:v>
      </x:c>
      <x:c r="B559" s="33" t="str">
        <x:v>Venkatraman Ramakrishnan</x:v>
      </x:c>
      <x:c r="C559" s="35" t="n">
        <x:v>2009</x:v>
      </x:c>
      <x:c r="D559" s="36" t="str">
        <x:v>2009</x:v>
      </x:c>
      <x:c r="E559" s="36" t="str">
        <x:v>Person</x:v>
      </x:c>
      <x:c r="F559" s="37" t="str">
        <x:v>Not established here</x:v>
      </x:c>
      <x:c r="G559" s="33" t="str">
        <x:v>Not included in this affirmative shortlist. This is not a finding of non-genius.</x:v>
      </x:c>
      <x:c r="H559" s="29" t="str">
        <x:v>Chemistry roster</x:v>
      </x:c>
    </x:row>
    <x:row r="560" ht="36" customHeight="1">
      <x:c r="A560" s="29" t="str">
        <x:v>Chemistry</x:v>
      </x:c>
      <x:c r="B560" s="33" t="str">
        <x:v>Akira Suzuki</x:v>
      </x:c>
      <x:c r="C560" s="35" t="n">
        <x:v>2010</x:v>
      </x:c>
      <x:c r="D560" s="36" t="str">
        <x:v>2010</x:v>
      </x:c>
      <x:c r="E560" s="36" t="str">
        <x:v>Person</x:v>
      </x:c>
      <x:c r="F560" s="37" t="str">
        <x:v>Not established here</x:v>
      </x:c>
      <x:c r="G560" s="33" t="str">
        <x:v>Not included in this affirmative shortlist. This is not a finding of non-genius.</x:v>
      </x:c>
      <x:c r="H560" s="29" t="str">
        <x:v>Chemistry roster</x:v>
      </x:c>
    </x:row>
    <x:row r="561" ht="36" customHeight="1">
      <x:c r="A561" s="29" t="str">
        <x:v>Chemistry</x:v>
      </x:c>
      <x:c r="B561" s="33" t="str">
        <x:v>Ei-ichi Negishi</x:v>
      </x:c>
      <x:c r="C561" s="35" t="n">
        <x:v>2010</x:v>
      </x:c>
      <x:c r="D561" s="36" t="str">
        <x:v>2010</x:v>
      </x:c>
      <x:c r="E561" s="36" t="str">
        <x:v>Person</x:v>
      </x:c>
      <x:c r="F561" s="37" t="str">
        <x:v>Not established here</x:v>
      </x:c>
      <x:c r="G561" s="33" t="str">
        <x:v>Not included in this affirmative shortlist. This is not a finding of non-genius.</x:v>
      </x:c>
      <x:c r="H561" s="29" t="str">
        <x:v>Chemistry roster</x:v>
      </x:c>
    </x:row>
    <x:row r="562" ht="36" customHeight="1">
      <x:c r="A562" s="29" t="str">
        <x:v>Chemistry</x:v>
      </x:c>
      <x:c r="B562" s="33" t="str">
        <x:v>Richard F. Heck</x:v>
      </x:c>
      <x:c r="C562" s="35" t="n">
        <x:v>2010</x:v>
      </x:c>
      <x:c r="D562" s="36" t="str">
        <x:v>2010</x:v>
      </x:c>
      <x:c r="E562" s="36" t="str">
        <x:v>Person</x:v>
      </x:c>
      <x:c r="F562" s="37" t="str">
        <x:v>Not established here</x:v>
      </x:c>
      <x:c r="G562" s="33" t="str">
        <x:v>Not included in this affirmative shortlist. This is not a finding of non-genius.</x:v>
      </x:c>
      <x:c r="H562" s="29" t="str">
        <x:v>Chemistry roster</x:v>
      </x:c>
    </x:row>
    <x:row r="563" ht="36" customHeight="1">
      <x:c r="A563" s="29" t="str">
        <x:v>Chemistry</x:v>
      </x:c>
      <x:c r="B563" s="33" t="str">
        <x:v>Dan Shechtman</x:v>
      </x:c>
      <x:c r="C563" s="35" t="n">
        <x:v>2011</x:v>
      </x:c>
      <x:c r="D563" s="36" t="str">
        <x:v>2011</x:v>
      </x:c>
      <x:c r="E563" s="36" t="str">
        <x:v>Person</x:v>
      </x:c>
      <x:c r="F563" s="37" t="str">
        <x:v>Not established here</x:v>
      </x:c>
      <x:c r="G563" s="33" t="str">
        <x:v>Not included in this affirmative shortlist. This is not a finding of non-genius.</x:v>
      </x:c>
      <x:c r="H563" s="29" t="str">
        <x:v>Chemistry roster</x:v>
      </x:c>
    </x:row>
    <x:row r="564" ht="36" customHeight="1">
      <x:c r="A564" s="29" t="str">
        <x:v>Chemistry</x:v>
      </x:c>
      <x:c r="B564" s="33" t="str">
        <x:v>Brian Kobilka</x:v>
      </x:c>
      <x:c r="C564" s="35" t="n">
        <x:v>2012</x:v>
      </x:c>
      <x:c r="D564" s="36" t="str">
        <x:v>2012</x:v>
      </x:c>
      <x:c r="E564" s="36" t="str">
        <x:v>Person</x:v>
      </x:c>
      <x:c r="F564" s="37" t="str">
        <x:v>Not established here</x:v>
      </x:c>
      <x:c r="G564" s="33" t="str">
        <x:v>Not included in this affirmative shortlist. This is not a finding of non-genius.</x:v>
      </x:c>
      <x:c r="H564" s="29" t="str">
        <x:v>Chemistry roster</x:v>
      </x:c>
    </x:row>
    <x:row r="565" ht="36" customHeight="1">
      <x:c r="A565" s="29" t="str">
        <x:v>Chemistry</x:v>
      </x:c>
      <x:c r="B565" s="33" t="str">
        <x:v>Robert Lefkowitz</x:v>
      </x:c>
      <x:c r="C565" s="35" t="n">
        <x:v>2012</x:v>
      </x:c>
      <x:c r="D565" s="36" t="str">
        <x:v>2012</x:v>
      </x:c>
      <x:c r="E565" s="36" t="str">
        <x:v>Person</x:v>
      </x:c>
      <x:c r="F565" s="37" t="str">
        <x:v>Not established here</x:v>
      </x:c>
      <x:c r="G565" s="33" t="str">
        <x:v>Not included in this affirmative shortlist. This is not a finding of non-genius.</x:v>
      </x:c>
      <x:c r="H565" s="29" t="str">
        <x:v>Chemistry roster</x:v>
      </x:c>
    </x:row>
    <x:row r="566" ht="36" customHeight="1">
      <x:c r="A566" s="29" t="str">
        <x:v>Chemistry</x:v>
      </x:c>
      <x:c r="B566" s="33" t="str">
        <x:v>Arieh Warshel</x:v>
      </x:c>
      <x:c r="C566" s="35" t="n">
        <x:v>2013</x:v>
      </x:c>
      <x:c r="D566" s="36" t="str">
        <x:v>2013</x:v>
      </x:c>
      <x:c r="E566" s="36" t="str">
        <x:v>Person</x:v>
      </x:c>
      <x:c r="F566" s="37" t="str">
        <x:v>Borderline</x:v>
      </x:c>
      <x:c r="G566" s="33" t="str">
        <x:v>Strong case for exceptional originality, but I am less certain of equivalence to the user's very high benchmark.</x:v>
      </x:c>
      <x:c r="H566" s="29" t="str">
        <x:v>Chemistry roster</x:v>
      </x:c>
    </x:row>
    <x:row r="567" ht="36" customHeight="1">
      <x:c r="A567" s="29" t="str">
        <x:v>Chemistry</x:v>
      </x:c>
      <x:c r="B567" s="33" t="str">
        <x:v>Martin Karplus</x:v>
      </x:c>
      <x:c r="C567" s="35" t="n">
        <x:v>2013</x:v>
      </x:c>
      <x:c r="D567" s="36" t="str">
        <x:v>2013</x:v>
      </x:c>
      <x:c r="E567" s="36" t="str">
        <x:v>Person</x:v>
      </x:c>
      <x:c r="F567" s="37" t="str">
        <x:v>Borderline</x:v>
      </x:c>
      <x:c r="G567" s="33" t="str">
        <x:v>Strong case for exceptional originality, but I am less certain of equivalence to the user's very high benchmark.</x:v>
      </x:c>
      <x:c r="H567" s="29" t="str">
        <x:v>Chemistry roster</x:v>
      </x:c>
    </x:row>
    <x:row r="568" ht="36" customHeight="1">
      <x:c r="A568" s="29" t="str">
        <x:v>Chemistry</x:v>
      </x:c>
      <x:c r="B568" s="33" t="str">
        <x:v>Michael Levitt</x:v>
      </x:c>
      <x:c r="C568" s="35" t="n">
        <x:v>2013</x:v>
      </x:c>
      <x:c r="D568" s="36" t="str">
        <x:v>2013</x:v>
      </x:c>
      <x:c r="E568" s="36" t="str">
        <x:v>Person</x:v>
      </x:c>
      <x:c r="F568" s="37" t="str">
        <x:v>Borderline</x:v>
      </x:c>
      <x:c r="G568" s="33" t="str">
        <x:v>Strong case for exceptional originality, but I am less certain of equivalence to the user's very high benchmark.</x:v>
      </x:c>
      <x:c r="H568" s="29" t="str">
        <x:v>Chemistry roster</x:v>
      </x:c>
    </x:row>
    <x:row r="569" ht="36" customHeight="1">
      <x:c r="A569" s="29" t="str">
        <x:v>Chemistry</x:v>
      </x:c>
      <x:c r="B569" s="33" t="str">
        <x:v>Eric Betzig</x:v>
      </x:c>
      <x:c r="C569" s="35" t="n">
        <x:v>2014</x:v>
      </x:c>
      <x:c r="D569" s="36" t="str">
        <x:v>2014</x:v>
      </x:c>
      <x:c r="E569" s="36" t="str">
        <x:v>Person</x:v>
      </x:c>
      <x:c r="F569" s="37" t="str">
        <x:v>Borderline</x:v>
      </x:c>
      <x:c r="G569" s="33" t="str">
        <x:v>Strong case for exceptional originality, but I am less certain of equivalence to the user's very high benchmark.</x:v>
      </x:c>
      <x:c r="H569" s="29" t="str">
        <x:v>Chemistry roster</x:v>
      </x:c>
    </x:row>
    <x:row r="570" ht="36" customHeight="1">
      <x:c r="A570" s="29" t="str">
        <x:v>Chemistry</x:v>
      </x:c>
      <x:c r="B570" s="33" t="str">
        <x:v>Stefan Hell</x:v>
      </x:c>
      <x:c r="C570" s="35" t="n">
        <x:v>2014</x:v>
      </x:c>
      <x:c r="D570" s="36" t="str">
        <x:v>2014</x:v>
      </x:c>
      <x:c r="E570" s="36" t="str">
        <x:v>Person</x:v>
      </x:c>
      <x:c r="F570" s="37" t="str">
        <x:v>Borderline</x:v>
      </x:c>
      <x:c r="G570" s="33" t="str">
        <x:v>Strong case for exceptional originality, but I am less certain of equivalence to the user's very high benchmark.</x:v>
      </x:c>
      <x:c r="H570" s="29" t="str">
        <x:v>Chemistry roster</x:v>
      </x:c>
    </x:row>
    <x:row r="571" ht="36" customHeight="1">
      <x:c r="A571" s="29" t="str">
        <x:v>Chemistry</x:v>
      </x:c>
      <x:c r="B571" s="33" t="str">
        <x:v>William E. Moerner</x:v>
      </x:c>
      <x:c r="C571" s="35" t="n">
        <x:v>2014</x:v>
      </x:c>
      <x:c r="D571" s="36" t="str">
        <x:v>2014</x:v>
      </x:c>
      <x:c r="E571" s="36" t="str">
        <x:v>Person</x:v>
      </x:c>
      <x:c r="F571" s="37" t="str">
        <x:v>Not established here</x:v>
      </x:c>
      <x:c r="G571" s="33" t="str">
        <x:v>Not included in this affirmative shortlist. This is not a finding of non-genius.</x:v>
      </x:c>
      <x:c r="H571" s="29" t="str">
        <x:v>Chemistry roster</x:v>
      </x:c>
    </x:row>
    <x:row r="572" ht="36" customHeight="1">
      <x:c r="A572" s="29" t="str">
        <x:v>Chemistry</x:v>
      </x:c>
      <x:c r="B572" s="33" t="str">
        <x:v>Aziz Sancar</x:v>
      </x:c>
      <x:c r="C572" s="35" t="n">
        <x:v>2015</x:v>
      </x:c>
      <x:c r="D572" s="36" t="str">
        <x:v>2015</x:v>
      </x:c>
      <x:c r="E572" s="36" t="str">
        <x:v>Person</x:v>
      </x:c>
      <x:c r="F572" s="37" t="str">
        <x:v>Not established here</x:v>
      </x:c>
      <x:c r="G572" s="33" t="str">
        <x:v>Not included in this affirmative shortlist. This is not a finding of non-genius.</x:v>
      </x:c>
      <x:c r="H572" s="29" t="str">
        <x:v>Chemistry roster</x:v>
      </x:c>
    </x:row>
    <x:row r="573" ht="36" customHeight="1">
      <x:c r="A573" s="29" t="str">
        <x:v>Chemistry</x:v>
      </x:c>
      <x:c r="B573" s="33" t="str">
        <x:v>Paul L. Modrich</x:v>
      </x:c>
      <x:c r="C573" s="35" t="n">
        <x:v>2015</x:v>
      </x:c>
      <x:c r="D573" s="36" t="str">
        <x:v>2015</x:v>
      </x:c>
      <x:c r="E573" s="36" t="str">
        <x:v>Person</x:v>
      </x:c>
      <x:c r="F573" s="37" t="str">
        <x:v>Not established here</x:v>
      </x:c>
      <x:c r="G573" s="33" t="str">
        <x:v>Not included in this affirmative shortlist. This is not a finding of non-genius.</x:v>
      </x:c>
      <x:c r="H573" s="29" t="str">
        <x:v>Chemistry roster</x:v>
      </x:c>
    </x:row>
    <x:row r="574" ht="36" customHeight="1">
      <x:c r="A574" s="29" t="str">
        <x:v>Chemistry</x:v>
      </x:c>
      <x:c r="B574" s="33" t="str">
        <x:v>Tomas Lindahl</x:v>
      </x:c>
      <x:c r="C574" s="35" t="n">
        <x:v>2015</x:v>
      </x:c>
      <x:c r="D574" s="36" t="str">
        <x:v>2015</x:v>
      </x:c>
      <x:c r="E574" s="36" t="str">
        <x:v>Person</x:v>
      </x:c>
      <x:c r="F574" s="37" t="str">
        <x:v>Not established here</x:v>
      </x:c>
      <x:c r="G574" s="33" t="str">
        <x:v>Not included in this affirmative shortlist. This is not a finding of non-genius.</x:v>
      </x:c>
      <x:c r="H574" s="29" t="str">
        <x:v>Chemistry roster</x:v>
      </x:c>
    </x:row>
    <x:row r="575" ht="36" customHeight="1">
      <x:c r="A575" s="29" t="str">
        <x:v>Chemistry</x:v>
      </x:c>
      <x:c r="B575" s="33" t="str">
        <x:v>Ben Feringa</x:v>
      </x:c>
      <x:c r="C575" s="35" t="n">
        <x:v>2016</x:v>
      </x:c>
      <x:c r="D575" s="36" t="str">
        <x:v>2016</x:v>
      </x:c>
      <x:c r="E575" s="36" t="str">
        <x:v>Person</x:v>
      </x:c>
      <x:c r="F575" s="37" t="str">
        <x:v>Not established here</x:v>
      </x:c>
      <x:c r="G575" s="33" t="str">
        <x:v>Not included in this affirmative shortlist. This is not a finding of non-genius.</x:v>
      </x:c>
      <x:c r="H575" s="29" t="str">
        <x:v>Chemistry roster</x:v>
      </x:c>
    </x:row>
    <x:row r="576" ht="36" customHeight="1">
      <x:c r="A576" s="29" t="str">
        <x:v>Chemistry</x:v>
      </x:c>
      <x:c r="B576" s="33" t="str">
        <x:v>Fraser Stoddart</x:v>
      </x:c>
      <x:c r="C576" s="35" t="n">
        <x:v>2016</x:v>
      </x:c>
      <x:c r="D576" s="36" t="str">
        <x:v>2016</x:v>
      </x:c>
      <x:c r="E576" s="36" t="str">
        <x:v>Person</x:v>
      </x:c>
      <x:c r="F576" s="37" t="str">
        <x:v>Not established here</x:v>
      </x:c>
      <x:c r="G576" s="33" t="str">
        <x:v>Not included in this affirmative shortlist. This is not a finding of non-genius.</x:v>
      </x:c>
      <x:c r="H576" s="29" t="str">
        <x:v>Chemistry roster</x:v>
      </x:c>
    </x:row>
    <x:row r="577" ht="36" customHeight="1">
      <x:c r="A577" s="29" t="str">
        <x:v>Chemistry</x:v>
      </x:c>
      <x:c r="B577" s="33" t="str">
        <x:v>Jean-Pierre Sauvage</x:v>
      </x:c>
      <x:c r="C577" s="35" t="n">
        <x:v>2016</x:v>
      </x:c>
      <x:c r="D577" s="36" t="str">
        <x:v>2016</x:v>
      </x:c>
      <x:c r="E577" s="36" t="str">
        <x:v>Person</x:v>
      </x:c>
      <x:c r="F577" s="37" t="str">
        <x:v>Not established here</x:v>
      </x:c>
      <x:c r="G577" s="33" t="str">
        <x:v>Not included in this affirmative shortlist. This is not a finding of non-genius.</x:v>
      </x:c>
      <x:c r="H577" s="29" t="str">
        <x:v>Chemistry roster</x:v>
      </x:c>
    </x:row>
    <x:row r="578" ht="36" customHeight="1">
      <x:c r="A578" s="29" t="str">
        <x:v>Chemistry</x:v>
      </x:c>
      <x:c r="B578" s="33" t="str">
        <x:v>Jacques Dubochet</x:v>
      </x:c>
      <x:c r="C578" s="35" t="n">
        <x:v>2017</x:v>
      </x:c>
      <x:c r="D578" s="36" t="str">
        <x:v>2017</x:v>
      </x:c>
      <x:c r="E578" s="36" t="str">
        <x:v>Person</x:v>
      </x:c>
      <x:c r="F578" s="37" t="str">
        <x:v>Not established here</x:v>
      </x:c>
      <x:c r="G578" s="33" t="str">
        <x:v>Not included in this affirmative shortlist. This is not a finding of non-genius.</x:v>
      </x:c>
      <x:c r="H578" s="29" t="str">
        <x:v>Chemistry roster</x:v>
      </x:c>
    </x:row>
    <x:row r="579" ht="36" customHeight="1">
      <x:c r="A579" s="29" t="str">
        <x:v>Chemistry</x:v>
      </x:c>
      <x:c r="B579" s="33" t="str">
        <x:v>Joachim Frank</x:v>
      </x:c>
      <x:c r="C579" s="35" t="n">
        <x:v>2017</x:v>
      </x:c>
      <x:c r="D579" s="36" t="str">
        <x:v>2017</x:v>
      </x:c>
      <x:c r="E579" s="36" t="str">
        <x:v>Person</x:v>
      </x:c>
      <x:c r="F579" s="37" t="str">
        <x:v>Not established here</x:v>
      </x:c>
      <x:c r="G579" s="33" t="str">
        <x:v>Not included in this affirmative shortlist. This is not a finding of non-genius.</x:v>
      </x:c>
      <x:c r="H579" s="29" t="str">
        <x:v>Chemistry roster</x:v>
      </x:c>
    </x:row>
    <x:row r="580" ht="36" customHeight="1">
      <x:c r="A580" s="29" t="str">
        <x:v>Chemistry</x:v>
      </x:c>
      <x:c r="B580" s="33" t="str">
        <x:v>Richard Henderson</x:v>
      </x:c>
      <x:c r="C580" s="35" t="n">
        <x:v>2017</x:v>
      </x:c>
      <x:c r="D580" s="36" t="str">
        <x:v>2017</x:v>
      </x:c>
      <x:c r="E580" s="36" t="str">
        <x:v>Person</x:v>
      </x:c>
      <x:c r="F580" s="37" t="str">
        <x:v>Not established here</x:v>
      </x:c>
      <x:c r="G580" s="33" t="str">
        <x:v>Not included in this affirmative shortlist. This is not a finding of non-genius.</x:v>
      </x:c>
      <x:c r="H580" s="29" t="str">
        <x:v>Chemistry roster</x:v>
      </x:c>
    </x:row>
    <x:row r="581" ht="36" customHeight="1">
      <x:c r="A581" s="29" t="str">
        <x:v>Chemistry</x:v>
      </x:c>
      <x:c r="B581" s="33" t="str">
        <x:v>Frances Arnold</x:v>
      </x:c>
      <x:c r="C581" s="35" t="n">
        <x:v>2018</x:v>
      </x:c>
      <x:c r="D581" s="36" t="str">
        <x:v>2018</x:v>
      </x:c>
      <x:c r="E581" s="36" t="str">
        <x:v>Person</x:v>
      </x:c>
      <x:c r="F581" s="37" t="str">
        <x:v>Borderline</x:v>
      </x:c>
      <x:c r="G581" s="33" t="str">
        <x:v>Strong case for exceptional originality, but I am less certain of equivalence to the user's very high benchmark.</x:v>
      </x:c>
      <x:c r="H581" s="29" t="str">
        <x:v>Chemistry roster</x:v>
      </x:c>
    </x:row>
    <x:row r="582" ht="36" customHeight="1">
      <x:c r="A582" s="29" t="str">
        <x:v>Chemistry</x:v>
      </x:c>
      <x:c r="B582" s="33" t="str">
        <x:v>George Smith</x:v>
      </x:c>
      <x:c r="C582" s="35" t="n">
        <x:v>2018</x:v>
      </x:c>
      <x:c r="D582" s="36" t="str">
        <x:v>2018</x:v>
      </x:c>
      <x:c r="E582" s="36" t="str">
        <x:v>Person</x:v>
      </x:c>
      <x:c r="F582" s="37" t="str">
        <x:v>Not established here</x:v>
      </x:c>
      <x:c r="G582" s="33" t="str">
        <x:v>Not included in this affirmative shortlist. This is not a finding of non-genius.</x:v>
      </x:c>
      <x:c r="H582" s="29" t="str">
        <x:v>Chemistry roster</x:v>
      </x:c>
    </x:row>
    <x:row r="583" ht="36" customHeight="1">
      <x:c r="A583" s="29" t="str">
        <x:v>Chemistry</x:v>
      </x:c>
      <x:c r="B583" s="33" t="str">
        <x:v>Greg Winter</x:v>
      </x:c>
      <x:c r="C583" s="35" t="n">
        <x:v>2018</x:v>
      </x:c>
      <x:c r="D583" s="36" t="str">
        <x:v>2018</x:v>
      </x:c>
      <x:c r="E583" s="36" t="str">
        <x:v>Person</x:v>
      </x:c>
      <x:c r="F583" s="37" t="str">
        <x:v>Not established here</x:v>
      </x:c>
      <x:c r="G583" s="33" t="str">
        <x:v>Not included in this affirmative shortlist. This is not a finding of non-genius.</x:v>
      </x:c>
      <x:c r="H583" s="29" t="str">
        <x:v>Chemistry roster</x:v>
      </x:c>
    </x:row>
    <x:row r="584" ht="36" customHeight="1">
      <x:c r="A584" s="29" t="str">
        <x:v>Chemistry</x:v>
      </x:c>
      <x:c r="B584" s="33" t="str">
        <x:v>Akira Yoshino</x:v>
      </x:c>
      <x:c r="C584" s="35" t="n">
        <x:v>2019</x:v>
      </x:c>
      <x:c r="D584" s="36" t="str">
        <x:v>2019</x:v>
      </x:c>
      <x:c r="E584" s="36" t="str">
        <x:v>Person</x:v>
      </x:c>
      <x:c r="F584" s="37" t="str">
        <x:v>Not established here</x:v>
      </x:c>
      <x:c r="G584" s="33" t="str">
        <x:v>Not included in this affirmative shortlist. This is not a finding of non-genius.</x:v>
      </x:c>
      <x:c r="H584" s="29" t="str">
        <x:v>Chemistry roster</x:v>
      </x:c>
    </x:row>
    <x:row r="585" ht="36" customHeight="1">
      <x:c r="A585" s="29" t="str">
        <x:v>Chemistry</x:v>
      </x:c>
      <x:c r="B585" s="33" t="str">
        <x:v>John B. Goodenough</x:v>
      </x:c>
      <x:c r="C585" s="35" t="n">
        <x:v>2019</x:v>
      </x:c>
      <x:c r="D585" s="36" t="str">
        <x:v>2019</x:v>
      </x:c>
      <x:c r="E585" s="36" t="str">
        <x:v>Person</x:v>
      </x:c>
      <x:c r="F585" s="37" t="str">
        <x:v>Not established here</x:v>
      </x:c>
      <x:c r="G585" s="33" t="str">
        <x:v>Not included in this affirmative shortlist. This is not a finding of non-genius.</x:v>
      </x:c>
      <x:c r="H585" s="29" t="str">
        <x:v>Chemistry roster</x:v>
      </x:c>
    </x:row>
    <x:row r="586" ht="36" customHeight="1">
      <x:c r="A586" s="29" t="str">
        <x:v>Chemistry</x:v>
      </x:c>
      <x:c r="B586" s="33" t="str">
        <x:v>M. Stanley Whittingham</x:v>
      </x:c>
      <x:c r="C586" s="35" t="n">
        <x:v>2019</x:v>
      </x:c>
      <x:c r="D586" s="36" t="str">
        <x:v>2019</x:v>
      </x:c>
      <x:c r="E586" s="36" t="str">
        <x:v>Person</x:v>
      </x:c>
      <x:c r="F586" s="37" t="str">
        <x:v>Not established here</x:v>
      </x:c>
      <x:c r="G586" s="33" t="str">
        <x:v>Not included in this affirmative shortlist. This is not a finding of non-genius.</x:v>
      </x:c>
      <x:c r="H586" s="29" t="str">
        <x:v>Chemistry roster</x:v>
      </x:c>
    </x:row>
    <x:row r="587" ht="36" customHeight="1">
      <x:c r="A587" s="29" t="str">
        <x:v>Chemistry</x:v>
      </x:c>
      <x:c r="B587" s="33" t="str">
        <x:v>Emmanuelle Charpentier</x:v>
      </x:c>
      <x:c r="C587" s="35" t="n">
        <x:v>2020</x:v>
      </x:c>
      <x:c r="D587" s="36" t="str">
        <x:v>2020</x:v>
      </x:c>
      <x:c r="E587" s="36" t="str">
        <x:v>Person</x:v>
      </x:c>
      <x:c r="F587" s="37" t="str">
        <x:v>Borderline</x:v>
      </x:c>
      <x:c r="G587" s="33" t="str">
        <x:v>Strong case for exceptional originality, but I am less certain of equivalence to the user's very high benchmark.</x:v>
      </x:c>
      <x:c r="H587" s="29" t="str">
        <x:v>Chemistry roster</x:v>
      </x:c>
    </x:row>
    <x:row r="588" ht="36" customHeight="1">
      <x:c r="A588" s="29" t="str">
        <x:v>Chemistry</x:v>
      </x:c>
      <x:c r="B588" s="33" t="str">
        <x:v>Jennifer Doudna</x:v>
      </x:c>
      <x:c r="C588" s="35" t="n">
        <x:v>2020</x:v>
      </x:c>
      <x:c r="D588" s="36" t="str">
        <x:v>2020</x:v>
      </x:c>
      <x:c r="E588" s="36" t="str">
        <x:v>Person</x:v>
      </x:c>
      <x:c r="F588" s="37" t="str">
        <x:v>Borderline</x:v>
      </x:c>
      <x:c r="G588" s="33" t="str">
        <x:v>Strong case for exceptional originality, but I am less certain of equivalence to the user's very high benchmark.</x:v>
      </x:c>
      <x:c r="H588" s="29" t="str">
        <x:v>Chemistry roster</x:v>
      </x:c>
    </x:row>
    <x:row r="589" ht="36" customHeight="1">
      <x:c r="A589" s="29" t="str">
        <x:v>Chemistry</x:v>
      </x:c>
      <x:c r="B589" s="33" t="str">
        <x:v>Benjamin List</x:v>
      </x:c>
      <x:c r="C589" s="35" t="n">
        <x:v>2021</x:v>
      </x:c>
      <x:c r="D589" s="36" t="str">
        <x:v>2021</x:v>
      </x:c>
      <x:c r="E589" s="36" t="str">
        <x:v>Person</x:v>
      </x:c>
      <x:c r="F589" s="37" t="str">
        <x:v>Not established here</x:v>
      </x:c>
      <x:c r="G589" s="33" t="str">
        <x:v>Not included in this affirmative shortlist. This is not a finding of non-genius.</x:v>
      </x:c>
      <x:c r="H589" s="29" t="str">
        <x:v>Chemistry roster</x:v>
      </x:c>
    </x:row>
    <x:row r="590" ht="36" customHeight="1">
      <x:c r="A590" s="29" t="str">
        <x:v>Chemistry</x:v>
      </x:c>
      <x:c r="B590" s="33" t="str">
        <x:v>David W. C. MacMillan</x:v>
      </x:c>
      <x:c r="C590" s="35" t="n">
        <x:v>2021</x:v>
      </x:c>
      <x:c r="D590" s="36" t="str">
        <x:v>2021</x:v>
      </x:c>
      <x:c r="E590" s="36" t="str">
        <x:v>Person</x:v>
      </x:c>
      <x:c r="F590" s="37" t="str">
        <x:v>Not established here</x:v>
      </x:c>
      <x:c r="G590" s="33" t="str">
        <x:v>Not included in this affirmative shortlist. This is not a finding of non-genius.</x:v>
      </x:c>
      <x:c r="H590" s="29" t="str">
        <x:v>Chemistry roster</x:v>
      </x:c>
    </x:row>
    <x:row r="591" ht="36" customHeight="1">
      <x:c r="A591" s="29" t="str">
        <x:v>Chemistry</x:v>
      </x:c>
      <x:c r="B591" s="33" t="str">
        <x:v>Carolyn Bertozzi</x:v>
      </x:c>
      <x:c r="C591" s="35" t="n">
        <x:v>2022</x:v>
      </x:c>
      <x:c r="D591" s="36" t="str">
        <x:v>2022</x:v>
      </x:c>
      <x:c r="E591" s="36" t="str">
        <x:v>Person</x:v>
      </x:c>
      <x:c r="F591" s="37" t="str">
        <x:v>Borderline</x:v>
      </x:c>
      <x:c r="G591" s="33" t="str">
        <x:v>Strong case for exceptional originality, but I am less certain of equivalence to the user's very high benchmark.</x:v>
      </x:c>
      <x:c r="H591" s="29" t="str">
        <x:v>Chemistry roster</x:v>
      </x:c>
    </x:row>
    <x:row r="592" ht="36" customHeight="1">
      <x:c r="A592" s="29" t="str">
        <x:v>Chemistry</x:v>
      </x:c>
      <x:c r="B592" s="33" t="str">
        <x:v>Morten Meldal</x:v>
      </x:c>
      <x:c r="C592" s="35" t="n">
        <x:v>2022</x:v>
      </x:c>
      <x:c r="D592" s="36" t="str">
        <x:v>2022</x:v>
      </x:c>
      <x:c r="E592" s="36" t="str">
        <x:v>Person</x:v>
      </x:c>
      <x:c r="F592" s="37" t="str">
        <x:v>Not established here</x:v>
      </x:c>
      <x:c r="G592" s="33" t="str">
        <x:v>Not included in this affirmative shortlist. This is not a finding of non-genius.</x:v>
      </x:c>
      <x:c r="H592" s="29" t="str">
        <x:v>Chemistry roster</x:v>
      </x:c>
    </x:row>
    <x:row r="593" ht="36" customHeight="1">
      <x:c r="A593" s="29" t="str">
        <x:v>Chemistry</x:v>
      </x:c>
      <x:c r="B593" s="33" t="str">
        <x:v>Alexey Ekimov</x:v>
      </x:c>
      <x:c r="C593" s="35" t="n">
        <x:v>2023</x:v>
      </x:c>
      <x:c r="D593" s="36" t="str">
        <x:v>2023</x:v>
      </x:c>
      <x:c r="E593" s="36" t="str">
        <x:v>Person</x:v>
      </x:c>
      <x:c r="F593" s="37" t="str">
        <x:v>Not established here</x:v>
      </x:c>
      <x:c r="G593" s="33" t="str">
        <x:v>Not included in this affirmative shortlist. This is not a finding of non-genius.</x:v>
      </x:c>
      <x:c r="H593" s="29" t="str">
        <x:v>Chemistry roster</x:v>
      </x:c>
    </x:row>
    <x:row r="594" ht="36" customHeight="1">
      <x:c r="A594" s="29" t="str">
        <x:v>Chemistry</x:v>
      </x:c>
      <x:c r="B594" s="33" t="str">
        <x:v>Louis E. Brus</x:v>
      </x:c>
      <x:c r="C594" s="35" t="n">
        <x:v>2023</x:v>
      </x:c>
      <x:c r="D594" s="36" t="str">
        <x:v>2023</x:v>
      </x:c>
      <x:c r="E594" s="36" t="str">
        <x:v>Person</x:v>
      </x:c>
      <x:c r="F594" s="37" t="str">
        <x:v>Not established here</x:v>
      </x:c>
      <x:c r="G594" s="33" t="str">
        <x:v>Not included in this affirmative shortlist. This is not a finding of non-genius.</x:v>
      </x:c>
      <x:c r="H594" s="29" t="str">
        <x:v>Chemistry roster</x:v>
      </x:c>
    </x:row>
    <x:row r="595" ht="36" customHeight="1">
      <x:c r="A595" s="29" t="str">
        <x:v>Chemistry</x:v>
      </x:c>
      <x:c r="B595" s="33" t="str">
        <x:v>Moungi Bawendi</x:v>
      </x:c>
      <x:c r="C595" s="35" t="n">
        <x:v>2023</x:v>
      </x:c>
      <x:c r="D595" s="36" t="str">
        <x:v>2023</x:v>
      </x:c>
      <x:c r="E595" s="36" t="str">
        <x:v>Person</x:v>
      </x:c>
      <x:c r="F595" s="37" t="str">
        <x:v>Not established here</x:v>
      </x:c>
      <x:c r="G595" s="33" t="str">
        <x:v>Not included in this affirmative shortlist. This is not a finding of non-genius.</x:v>
      </x:c>
      <x:c r="H595" s="29" t="str">
        <x:v>Chemistry roster</x:v>
      </x:c>
    </x:row>
    <x:row r="596" ht="36" customHeight="1">
      <x:c r="A596" s="29" t="str">
        <x:v>Chemistry</x:v>
      </x:c>
      <x:c r="B596" s="33" t="str">
        <x:v>David Baker</x:v>
      </x:c>
      <x:c r="C596" s="35" t="n">
        <x:v>2024</x:v>
      </x:c>
      <x:c r="D596" s="36" t="str">
        <x:v>2024</x:v>
      </x:c>
      <x:c r="E596" s="36" t="str">
        <x:v>Person</x:v>
      </x:c>
      <x:c r="F596" s="37" t="str">
        <x:v>Borderline</x:v>
      </x:c>
      <x:c r="G596" s="33" t="str">
        <x:v>Strong case for exceptional originality, but I am less certain of equivalence to the user's very high benchmark.</x:v>
      </x:c>
      <x:c r="H596" s="29" t="str">
        <x:v>Chemistry roster</x:v>
      </x:c>
    </x:row>
    <x:row r="597" ht="36" customHeight="1">
      <x:c r="A597" s="29" t="str">
        <x:v>Chemistry</x:v>
      </x:c>
      <x:c r="B597" s="33" t="str">
        <x:v>Demis Hassabis</x:v>
      </x:c>
      <x:c r="C597" s="35" t="n">
        <x:v>2024</x:v>
      </x:c>
      <x:c r="D597" s="36" t="str">
        <x:v>2024</x:v>
      </x:c>
      <x:c r="E597" s="36" t="str">
        <x:v>Person</x:v>
      </x:c>
      <x:c r="F597" s="37" t="str">
        <x:v>Borderline</x:v>
      </x:c>
      <x:c r="G597" s="33" t="str">
        <x:v>Strong case for exceptional originality, but I am less certain of equivalence to the user's very high benchmark.</x:v>
      </x:c>
      <x:c r="H597" s="29" t="str">
        <x:v>Chemistry roster</x:v>
      </x:c>
    </x:row>
    <x:row r="598" ht="36" customHeight="1">
      <x:c r="A598" s="29" t="str">
        <x:v>Chemistry</x:v>
      </x:c>
      <x:c r="B598" s="33" t="str">
        <x:v>John M. Jumper</x:v>
      </x:c>
      <x:c r="C598" s="35" t="n">
        <x:v>2024</x:v>
      </x:c>
      <x:c r="D598" s="36" t="str">
        <x:v>2024</x:v>
      </x:c>
      <x:c r="E598" s="36" t="str">
        <x:v>Person</x:v>
      </x:c>
      <x:c r="F598" s="37" t="str">
        <x:v>Borderline</x:v>
      </x:c>
      <x:c r="G598" s="33" t="str">
        <x:v>Strong case for exceptional originality, but I am less certain of equivalence to the user's very high benchmark.</x:v>
      </x:c>
      <x:c r="H598" s="29" t="str">
        <x:v>Chemistry roster</x:v>
      </x:c>
    </x:row>
    <x:row r="599" ht="36" customHeight="1">
      <x:c r="A599" s="29" t="str">
        <x:v>Chemistry</x:v>
      </x:c>
      <x:c r="B599" s="33" t="str">
        <x:v>Omar M. Yaghi</x:v>
      </x:c>
      <x:c r="C599" s="35" t="n">
        <x:v>2025</x:v>
      </x:c>
      <x:c r="D599" s="36" t="str">
        <x:v>2025</x:v>
      </x:c>
      <x:c r="E599" s="36" t="str">
        <x:v>Person</x:v>
      </x:c>
      <x:c r="F599" s="37" t="str">
        <x:v>Not established here</x:v>
      </x:c>
      <x:c r="G599" s="33" t="str">
        <x:v>Not included in this affirmative shortlist. This is not a finding of non-genius.</x:v>
      </x:c>
      <x:c r="H599" s="29" t="str">
        <x:v>Chemistry roster</x:v>
      </x:c>
    </x:row>
    <x:row r="600" ht="36" customHeight="1">
      <x:c r="A600" s="29" t="str">
        <x:v>Chemistry</x:v>
      </x:c>
      <x:c r="B600" s="33" t="str">
        <x:v>Richard Robson</x:v>
      </x:c>
      <x:c r="C600" s="35" t="n">
        <x:v>2025</x:v>
      </x:c>
      <x:c r="D600" s="36" t="str">
        <x:v>2025</x:v>
      </x:c>
      <x:c r="E600" s="36" t="str">
        <x:v>Person</x:v>
      </x:c>
      <x:c r="F600" s="37" t="str">
        <x:v>Not established here</x:v>
      </x:c>
      <x:c r="G600" s="33" t="str">
        <x:v>Not included in this affirmative shortlist. This is not a finding of non-genius.</x:v>
      </x:c>
      <x:c r="H600" s="29" t="str">
        <x:v>Chemistry roster</x:v>
      </x:c>
    </x:row>
    <x:row r="601" ht="36" customHeight="1">
      <x:c r="A601" s="29" t="str">
        <x:v>Chemistry</x:v>
      </x:c>
      <x:c r="B601" s="33" t="str">
        <x:v>Susumu Kitagawa</x:v>
      </x:c>
      <x:c r="C601" s="35" t="n">
        <x:v>2025</x:v>
      </x:c>
      <x:c r="D601" s="36" t="str">
        <x:v>2025</x:v>
      </x:c>
      <x:c r="E601" s="36" t="str">
        <x:v>Person</x:v>
      </x:c>
      <x:c r="F601" s="37" t="str">
        <x:v>Not established here</x:v>
      </x:c>
      <x:c r="G601" s="33" t="str">
        <x:v>Not included in this affirmative shortlist. This is not a finding of non-genius.</x:v>
      </x:c>
      <x:c r="H601" s="29" t="str">
        <x:v>Chemistry roster</x:v>
      </x:c>
    </x:row>
    <x:row r="602" ht="36" customHeight="1">
      <x:c r="A602" s="29" t="str">
        <x:v>Literature</x:v>
      </x:c>
      <x:c r="B602" s="33" t="str">
        <x:v>Sully Prudhomme</x:v>
      </x:c>
      <x:c r="C602" s="35" t="n">
        <x:v>1901</x:v>
      </x:c>
      <x:c r="D602" s="36" t="str">
        <x:v>1901</x:v>
      </x:c>
      <x:c r="E602" s="36" t="str">
        <x:v>Person</x:v>
      </x:c>
      <x:c r="F602" s="37" t="str">
        <x:v>Not established here</x:v>
      </x:c>
      <x:c r="G602" s="33" t="str">
        <x:v>Not included in this affirmative shortlist. This is not a finding of non-genius.</x:v>
      </x:c>
      <x:c r="H602" s="29" t="str">
        <x:v>Literature roster</x:v>
      </x:c>
    </x:row>
    <x:row r="603" ht="36" customHeight="1">
      <x:c r="A603" s="29" t="str">
        <x:v>Literature</x:v>
      </x:c>
      <x:c r="B603" s="33" t="str">
        <x:v>Theodor Mommsen</x:v>
      </x:c>
      <x:c r="C603" s="35" t="n">
        <x:v>1902</x:v>
      </x:c>
      <x:c r="D603" s="36" t="str">
        <x:v>1902</x:v>
      </x:c>
      <x:c r="E603" s="36" t="str">
        <x:v>Person</x:v>
      </x:c>
      <x:c r="F603" s="37" t="str">
        <x:v>Not established here</x:v>
      </x:c>
      <x:c r="G603" s="33" t="str">
        <x:v>Not included in this affirmative shortlist. This is not a finding of non-genius.</x:v>
      </x:c>
      <x:c r="H603" s="29" t="str">
        <x:v>Literature roster</x:v>
      </x:c>
    </x:row>
    <x:row r="604" ht="36" customHeight="1">
      <x:c r="A604" s="29" t="str">
        <x:v>Literature</x:v>
      </x:c>
      <x:c r="B604" s="33" t="str">
        <x:v>Bjørnstjerne Bjørnson</x:v>
      </x:c>
      <x:c r="C604" s="35" t="n">
        <x:v>1903</x:v>
      </x:c>
      <x:c r="D604" s="36" t="str">
        <x:v>1903</x:v>
      </x:c>
      <x:c r="E604" s="36" t="str">
        <x:v>Person</x:v>
      </x:c>
      <x:c r="F604" s="37" t="str">
        <x:v>Not established here</x:v>
      </x:c>
      <x:c r="G604" s="33" t="str">
        <x:v>Not included in this affirmative shortlist. This is not a finding of non-genius.</x:v>
      </x:c>
      <x:c r="H604" s="29" t="str">
        <x:v>Literature roster</x:v>
      </x:c>
    </x:row>
    <x:row r="605" ht="36" customHeight="1">
      <x:c r="A605" s="29" t="str">
        <x:v>Literature</x:v>
      </x:c>
      <x:c r="B605" s="33" t="str">
        <x:v>Frédéric Mistral</x:v>
      </x:c>
      <x:c r="C605" s="35" t="n">
        <x:v>1904</x:v>
      </x:c>
      <x:c r="D605" s="36" t="str">
        <x:v>1904</x:v>
      </x:c>
      <x:c r="E605" s="36" t="str">
        <x:v>Person</x:v>
      </x:c>
      <x:c r="F605" s="37" t="str">
        <x:v>Not established here</x:v>
      </x:c>
      <x:c r="G605" s="33" t="str">
        <x:v>Not included in this affirmative shortlist. This is not a finding of non-genius.</x:v>
      </x:c>
      <x:c r="H605" s="29" t="str">
        <x:v>Literature roster</x:v>
      </x:c>
    </x:row>
    <x:row r="606" ht="36" customHeight="1">
      <x:c r="A606" s="29" t="str">
        <x:v>Literature</x:v>
      </x:c>
      <x:c r="B606" s="33" t="str">
        <x:v>José Echegaray</x:v>
      </x:c>
      <x:c r="C606" s="35" t="n">
        <x:v>1904</x:v>
      </x:c>
      <x:c r="D606" s="36" t="str">
        <x:v>1904</x:v>
      </x:c>
      <x:c r="E606" s="36" t="str">
        <x:v>Person</x:v>
      </x:c>
      <x:c r="F606" s="37" t="str">
        <x:v>Not established here</x:v>
      </x:c>
      <x:c r="G606" s="33" t="str">
        <x:v>Not included in this affirmative shortlist. This is not a finding of non-genius.</x:v>
      </x:c>
      <x:c r="H606" s="29" t="str">
        <x:v>Literature roster</x:v>
      </x:c>
    </x:row>
    <x:row r="607" ht="36" customHeight="1">
      <x:c r="A607" s="29" t="str">
        <x:v>Literature</x:v>
      </x:c>
      <x:c r="B607" s="33" t="str">
        <x:v>Henryk Sienkiewicz</x:v>
      </x:c>
      <x:c r="C607" s="35" t="n">
        <x:v>1905</x:v>
      </x:c>
      <x:c r="D607" s="36" t="str">
        <x:v>1905</x:v>
      </x:c>
      <x:c r="E607" s="36" t="str">
        <x:v>Person</x:v>
      </x:c>
      <x:c r="F607" s="37" t="str">
        <x:v>Not established here</x:v>
      </x:c>
      <x:c r="G607" s="33" t="str">
        <x:v>Not included in this affirmative shortlist. This is not a finding of non-genius.</x:v>
      </x:c>
      <x:c r="H607" s="29" t="str">
        <x:v>Literature roster</x:v>
      </x:c>
    </x:row>
    <x:row r="608" ht="36" customHeight="1">
      <x:c r="A608" s="29" t="str">
        <x:v>Literature</x:v>
      </x:c>
      <x:c r="B608" s="33" t="str">
        <x:v>Giosuè Carducci</x:v>
      </x:c>
      <x:c r="C608" s="35" t="n">
        <x:v>1906</x:v>
      </x:c>
      <x:c r="D608" s="36" t="str">
        <x:v>1906</x:v>
      </x:c>
      <x:c r="E608" s="36" t="str">
        <x:v>Person</x:v>
      </x:c>
      <x:c r="F608" s="37" t="str">
        <x:v>Not established here</x:v>
      </x:c>
      <x:c r="G608" s="33" t="str">
        <x:v>Not included in this affirmative shortlist. This is not a finding of non-genius.</x:v>
      </x:c>
      <x:c r="H608" s="29" t="str">
        <x:v>Literature roster</x:v>
      </x:c>
    </x:row>
    <x:row r="609" ht="36" customHeight="1">
      <x:c r="A609" s="29" t="str">
        <x:v>Literature</x:v>
      </x:c>
      <x:c r="B609" s="33" t="str">
        <x:v>Rudyard Kipling</x:v>
      </x:c>
      <x:c r="C609" s="35" t="n">
        <x:v>1907</x:v>
      </x:c>
      <x:c r="D609" s="36" t="str">
        <x:v>1907</x:v>
      </x:c>
      <x:c r="E609" s="36" t="str">
        <x:v>Person</x:v>
      </x:c>
      <x:c r="F609" s="37" t="str">
        <x:v>Borderline</x:v>
      </x:c>
      <x:c r="G609" s="33" t="str">
        <x:v>Strong case for exceptional originality, but I am less certain of equivalence to the user's very high benchmark.</x:v>
      </x:c>
      <x:c r="H609" s="29" t="str">
        <x:v>Literature roster</x:v>
      </x:c>
    </x:row>
    <x:row r="610" ht="36" customHeight="1">
      <x:c r="A610" s="29" t="str">
        <x:v>Literature</x:v>
      </x:c>
      <x:c r="B610" s="33" t="str">
        <x:v>Rudolf Christoph Eucken</x:v>
      </x:c>
      <x:c r="C610" s="35" t="n">
        <x:v>1908</x:v>
      </x:c>
      <x:c r="D610" s="36" t="str">
        <x:v>1908</x:v>
      </x:c>
      <x:c r="E610" s="36" t="str">
        <x:v>Person</x:v>
      </x:c>
      <x:c r="F610" s="37" t="str">
        <x:v>Not established here</x:v>
      </x:c>
      <x:c r="G610" s="33" t="str">
        <x:v>Not included in this affirmative shortlist. This is not a finding of non-genius.</x:v>
      </x:c>
      <x:c r="H610" s="29" t="str">
        <x:v>Literature roster</x:v>
      </x:c>
    </x:row>
    <x:row r="611" ht="36" customHeight="1">
      <x:c r="A611" s="29" t="str">
        <x:v>Literature</x:v>
      </x:c>
      <x:c r="B611" s="33" t="str">
        <x:v>Selma Lagerlöf</x:v>
      </x:c>
      <x:c r="C611" s="35" t="n">
        <x:v>1909</x:v>
      </x:c>
      <x:c r="D611" s="36" t="str">
        <x:v>1909</x:v>
      </x:c>
      <x:c r="E611" s="36" t="str">
        <x:v>Person</x:v>
      </x:c>
      <x:c r="F611" s="37" t="str">
        <x:v>Not established here</x:v>
      </x:c>
      <x:c r="G611" s="33" t="str">
        <x:v>Not included in this affirmative shortlist. This is not a finding of non-genius.</x:v>
      </x:c>
      <x:c r="H611" s="29" t="str">
        <x:v>Literature roster</x:v>
      </x:c>
    </x:row>
    <x:row r="612" ht="36" customHeight="1">
      <x:c r="A612" s="29" t="str">
        <x:v>Literature</x:v>
      </x:c>
      <x:c r="B612" s="33" t="str">
        <x:v>Paul Heyse</x:v>
      </x:c>
      <x:c r="C612" s="35" t="n">
        <x:v>1910</x:v>
      </x:c>
      <x:c r="D612" s="36" t="str">
        <x:v>1910</x:v>
      </x:c>
      <x:c r="E612" s="36" t="str">
        <x:v>Person</x:v>
      </x:c>
      <x:c r="F612" s="37" t="str">
        <x:v>Not established here</x:v>
      </x:c>
      <x:c r="G612" s="33" t="str">
        <x:v>Not included in this affirmative shortlist. This is not a finding of non-genius.</x:v>
      </x:c>
      <x:c r="H612" s="29" t="str">
        <x:v>Literature roster</x:v>
      </x:c>
    </x:row>
    <x:row r="613" ht="36" customHeight="1">
      <x:c r="A613" s="29" t="str">
        <x:v>Literature</x:v>
      </x:c>
      <x:c r="B613" s="33" t="str">
        <x:v>Maurice Maeterlinck</x:v>
      </x:c>
      <x:c r="C613" s="35" t="n">
        <x:v>1911</x:v>
      </x:c>
      <x:c r="D613" s="36" t="str">
        <x:v>1911</x:v>
      </x:c>
      <x:c r="E613" s="36" t="str">
        <x:v>Person</x:v>
      </x:c>
      <x:c r="F613" s="37" t="str">
        <x:v>Not established here</x:v>
      </x:c>
      <x:c r="G613" s="33" t="str">
        <x:v>Not included in this affirmative shortlist. This is not a finding of non-genius.</x:v>
      </x:c>
      <x:c r="H613" s="29" t="str">
        <x:v>Literature roster</x:v>
      </x:c>
    </x:row>
    <x:row r="614" ht="36" customHeight="1">
      <x:c r="A614" s="29" t="str">
        <x:v>Literature</x:v>
      </x:c>
      <x:c r="B614" s="33" t="str">
        <x:v>Gerhart Hauptmann</x:v>
      </x:c>
      <x:c r="C614" s="35" t="n">
        <x:v>1912</x:v>
      </x:c>
      <x:c r="D614" s="36" t="str">
        <x:v>1912</x:v>
      </x:c>
      <x:c r="E614" s="36" t="str">
        <x:v>Person</x:v>
      </x:c>
      <x:c r="F614" s="37" t="str">
        <x:v>Not established here</x:v>
      </x:c>
      <x:c r="G614" s="33" t="str">
        <x:v>Not included in this affirmative shortlist. This is not a finding of non-genius.</x:v>
      </x:c>
      <x:c r="H614" s="29" t="str">
        <x:v>Literature roster</x:v>
      </x:c>
    </x:row>
    <x:row r="615" ht="36" customHeight="1">
      <x:c r="A615" s="29" t="str">
        <x:v>Literature</x:v>
      </x:c>
      <x:c r="B615" s="33" t="str">
        <x:v>Rabindranath Tagore</x:v>
      </x:c>
      <x:c r="C615" s="35" t="n">
        <x:v>1913</x:v>
      </x:c>
      <x:c r="D615" s="36" t="str">
        <x:v>1913</x:v>
      </x:c>
      <x:c r="E615" s="36" t="str">
        <x:v>Person</x:v>
      </x:c>
      <x:c r="F615" s="37" t="str">
        <x:v>Clear</x:v>
      </x:c>
      <x:c r="G615" s="33" t="str">
        <x:v>Exceptional poetic and wider artistic originality.</x:v>
      </x:c>
      <x:c r="H615" s="29" t="str">
        <x:v>Literature roster</x:v>
      </x:c>
    </x:row>
    <x:row r="616" ht="36" customHeight="1">
      <x:c r="A616" s="29" t="str">
        <x:v>Literature</x:v>
      </x:c>
      <x:c r="B616" s="33" t="str">
        <x:v>Romain Rolland</x:v>
      </x:c>
      <x:c r="C616" s="35" t="n">
        <x:v>1915</x:v>
      </x:c>
      <x:c r="D616" s="36" t="str">
        <x:v>1915</x:v>
      </x:c>
      <x:c r="E616" s="36" t="str">
        <x:v>Person</x:v>
      </x:c>
      <x:c r="F616" s="37" t="str">
        <x:v>Not established here</x:v>
      </x:c>
      <x:c r="G616" s="33" t="str">
        <x:v>Not included in this affirmative shortlist. This is not a finding of non-genius.</x:v>
      </x:c>
      <x:c r="H616" s="29" t="str">
        <x:v>Literature roster</x:v>
      </x:c>
    </x:row>
    <x:row r="617" ht="36" customHeight="1">
      <x:c r="A617" s="29" t="str">
        <x:v>Literature</x:v>
      </x:c>
      <x:c r="B617" s="33" t="str">
        <x:v>Verner von Heidenstam</x:v>
      </x:c>
      <x:c r="C617" s="35" t="n">
        <x:v>1916</x:v>
      </x:c>
      <x:c r="D617" s="36" t="str">
        <x:v>1916</x:v>
      </x:c>
      <x:c r="E617" s="36" t="str">
        <x:v>Person</x:v>
      </x:c>
      <x:c r="F617" s="37" t="str">
        <x:v>Not established here</x:v>
      </x:c>
      <x:c r="G617" s="33" t="str">
        <x:v>Not included in this affirmative shortlist. This is not a finding of non-genius.</x:v>
      </x:c>
      <x:c r="H617" s="29" t="str">
        <x:v>Literature roster</x:v>
      </x:c>
    </x:row>
    <x:row r="618" ht="36" customHeight="1">
      <x:c r="A618" s="29" t="str">
        <x:v>Literature</x:v>
      </x:c>
      <x:c r="B618" s="33" t="str">
        <x:v>Henrik Pontoppidan</x:v>
      </x:c>
      <x:c r="C618" s="35" t="n">
        <x:v>1917</x:v>
      </x:c>
      <x:c r="D618" s="36" t="str">
        <x:v>1917</x:v>
      </x:c>
      <x:c r="E618" s="36" t="str">
        <x:v>Person</x:v>
      </x:c>
      <x:c r="F618" s="37" t="str">
        <x:v>Not established here</x:v>
      </x:c>
      <x:c r="G618" s="33" t="str">
        <x:v>Not included in this affirmative shortlist. This is not a finding of non-genius.</x:v>
      </x:c>
      <x:c r="H618" s="29" t="str">
        <x:v>Literature roster</x:v>
      </x:c>
    </x:row>
    <x:row r="619" ht="36" customHeight="1">
      <x:c r="A619" s="29" t="str">
        <x:v>Literature</x:v>
      </x:c>
      <x:c r="B619" s="33" t="str">
        <x:v>Karl Adolph Gjellerup</x:v>
      </x:c>
      <x:c r="C619" s="35" t="n">
        <x:v>1917</x:v>
      </x:c>
      <x:c r="D619" s="36" t="str">
        <x:v>1917</x:v>
      </x:c>
      <x:c r="E619" s="36" t="str">
        <x:v>Person</x:v>
      </x:c>
      <x:c r="F619" s="37" t="str">
        <x:v>Not established here</x:v>
      </x:c>
      <x:c r="G619" s="33" t="str">
        <x:v>Not included in this affirmative shortlist. This is not a finding of non-genius.</x:v>
      </x:c>
      <x:c r="H619" s="29" t="str">
        <x:v>Literature roster</x:v>
      </x:c>
    </x:row>
    <x:row r="620" ht="36" customHeight="1">
      <x:c r="A620" s="29" t="str">
        <x:v>Literature</x:v>
      </x:c>
      <x:c r="B620" s="33" t="str">
        <x:v>Carl Spitteler</x:v>
      </x:c>
      <x:c r="C620" s="35" t="n">
        <x:v>1919</x:v>
      </x:c>
      <x:c r="D620" s="36" t="str">
        <x:v>1919</x:v>
      </x:c>
      <x:c r="E620" s="36" t="str">
        <x:v>Person</x:v>
      </x:c>
      <x:c r="F620" s="37" t="str">
        <x:v>Not established here</x:v>
      </x:c>
      <x:c r="G620" s="33" t="str">
        <x:v>Not included in this affirmative shortlist. This is not a finding of non-genius.</x:v>
      </x:c>
      <x:c r="H620" s="29" t="str">
        <x:v>Literature roster</x:v>
      </x:c>
    </x:row>
    <x:row r="621" ht="36" customHeight="1">
      <x:c r="A621" s="29" t="str">
        <x:v>Literature</x:v>
      </x:c>
      <x:c r="B621" s="33" t="str">
        <x:v>Knut Hamsun</x:v>
      </x:c>
      <x:c r="C621" s="35" t="n">
        <x:v>1920</x:v>
      </x:c>
      <x:c r="D621" s="36" t="str">
        <x:v>1920</x:v>
      </x:c>
      <x:c r="E621" s="36" t="str">
        <x:v>Person</x:v>
      </x:c>
      <x:c r="F621" s="37" t="str">
        <x:v>Borderline</x:v>
      </x:c>
      <x:c r="G621" s="33" t="str">
        <x:v>Strong case for exceptional originality, but I am less certain of equivalence to the user's very high benchmark.</x:v>
      </x:c>
      <x:c r="H621" s="29" t="str">
        <x:v>Literature roster</x:v>
      </x:c>
    </x:row>
    <x:row r="622" ht="36" customHeight="1">
      <x:c r="A622" s="29" t="str">
        <x:v>Literature</x:v>
      </x:c>
      <x:c r="B622" s="33" t="str">
        <x:v>Anatole France</x:v>
      </x:c>
      <x:c r="C622" s="35" t="n">
        <x:v>1921</x:v>
      </x:c>
      <x:c r="D622" s="36" t="str">
        <x:v>1921</x:v>
      </x:c>
      <x:c r="E622" s="36" t="str">
        <x:v>Person</x:v>
      </x:c>
      <x:c r="F622" s="37" t="str">
        <x:v>Not established here</x:v>
      </x:c>
      <x:c r="G622" s="33" t="str">
        <x:v>Not included in this affirmative shortlist. This is not a finding of non-genius.</x:v>
      </x:c>
      <x:c r="H622" s="29" t="str">
        <x:v>Literature roster</x:v>
      </x:c>
    </x:row>
    <x:row r="623" ht="36" customHeight="1">
      <x:c r="A623" s="29" t="str">
        <x:v>Literature</x:v>
      </x:c>
      <x:c r="B623" s="33" t="str">
        <x:v>Jacinto Benavente</x:v>
      </x:c>
      <x:c r="C623" s="35" t="n">
        <x:v>1922</x:v>
      </x:c>
      <x:c r="D623" s="36" t="str">
        <x:v>1922</x:v>
      </x:c>
      <x:c r="E623" s="36" t="str">
        <x:v>Person</x:v>
      </x:c>
      <x:c r="F623" s="37" t="str">
        <x:v>Not established here</x:v>
      </x:c>
      <x:c r="G623" s="33" t="str">
        <x:v>Not included in this affirmative shortlist. This is not a finding of non-genius.</x:v>
      </x:c>
      <x:c r="H623" s="29" t="str">
        <x:v>Literature roster</x:v>
      </x:c>
    </x:row>
    <x:row r="624" ht="36" customHeight="1">
      <x:c r="A624" s="29" t="str">
        <x:v>Literature</x:v>
      </x:c>
      <x:c r="B624" s="33" t="str">
        <x:v>W. B. Yeats</x:v>
      </x:c>
      <x:c r="C624" s="35" t="n">
        <x:v>1923</x:v>
      </x:c>
      <x:c r="D624" s="36" t="str">
        <x:v>1923</x:v>
      </x:c>
      <x:c r="E624" s="36" t="str">
        <x:v>Person</x:v>
      </x:c>
      <x:c r="F624" s="37" t="str">
        <x:v>Clear</x:v>
      </x:c>
      <x:c r="G624" s="33" t="str">
        <x:v>Transformative poetic imagination and language.</x:v>
      </x:c>
      <x:c r="H624" s="29" t="str">
        <x:v>Literature roster</x:v>
      </x:c>
    </x:row>
    <x:row r="625" ht="36" customHeight="1">
      <x:c r="A625" s="29" t="str">
        <x:v>Literature</x:v>
      </x:c>
      <x:c r="B625" s="33" t="str">
        <x:v>Władysław Reymont</x:v>
      </x:c>
      <x:c r="C625" s="35" t="n">
        <x:v>1924</x:v>
      </x:c>
      <x:c r="D625" s="36" t="str">
        <x:v>1924</x:v>
      </x:c>
      <x:c r="E625" s="36" t="str">
        <x:v>Person</x:v>
      </x:c>
      <x:c r="F625" s="37" t="str">
        <x:v>Not established here</x:v>
      </x:c>
      <x:c r="G625" s="33" t="str">
        <x:v>Not included in this affirmative shortlist. This is not a finding of non-genius.</x:v>
      </x:c>
      <x:c r="H625" s="29" t="str">
        <x:v>Literature roster</x:v>
      </x:c>
    </x:row>
    <x:row r="626" ht="36" customHeight="1">
      <x:c r="A626" s="29" t="str">
        <x:v>Literature</x:v>
      </x:c>
      <x:c r="B626" s="33" t="str">
        <x:v>George Bernard Shaw</x:v>
      </x:c>
      <x:c r="C626" s="35" t="n">
        <x:v>1925</x:v>
      </x:c>
      <x:c r="D626" s="36" t="str">
        <x:v>1925</x:v>
      </x:c>
      <x:c r="E626" s="36" t="str">
        <x:v>Person</x:v>
      </x:c>
      <x:c r="F626" s="37" t="str">
        <x:v>Clear</x:v>
      </x:c>
      <x:c r="G626" s="33" t="str">
        <x:v>Original dramatic and intellectual creativity.</x:v>
      </x:c>
      <x:c r="H626" s="29" t="str">
        <x:v>Literature roster</x:v>
      </x:c>
    </x:row>
    <x:row r="627" ht="36" customHeight="1">
      <x:c r="A627" s="29" t="str">
        <x:v>Literature</x:v>
      </x:c>
      <x:c r="B627" s="33" t="str">
        <x:v>Grazia Deledda</x:v>
      </x:c>
      <x:c r="C627" s="35" t="n">
        <x:v>1926</x:v>
      </x:c>
      <x:c r="D627" s="36" t="str">
        <x:v>1926</x:v>
      </x:c>
      <x:c r="E627" s="36" t="str">
        <x:v>Person</x:v>
      </x:c>
      <x:c r="F627" s="37" t="str">
        <x:v>Not established here</x:v>
      </x:c>
      <x:c r="G627" s="33" t="str">
        <x:v>Not included in this affirmative shortlist. This is not a finding of non-genius.</x:v>
      </x:c>
      <x:c r="H627" s="29" t="str">
        <x:v>Literature roster</x:v>
      </x:c>
    </x:row>
    <x:row r="628" ht="36" customHeight="1">
      <x:c r="A628" s="29" t="str">
        <x:v>Literature</x:v>
      </x:c>
      <x:c r="B628" s="33" t="str">
        <x:v>Henri Bergson</x:v>
      </x:c>
      <x:c r="C628" s="35" t="n">
        <x:v>1927</x:v>
      </x:c>
      <x:c r="D628" s="36" t="str">
        <x:v>1927</x:v>
      </x:c>
      <x:c r="E628" s="36" t="str">
        <x:v>Person</x:v>
      </x:c>
      <x:c r="F628" s="37" t="str">
        <x:v>Borderline</x:v>
      </x:c>
      <x:c r="G628" s="33" t="str">
        <x:v>Strong case for exceptional originality, but I am less certain of equivalence to the user's very high benchmark.</x:v>
      </x:c>
      <x:c r="H628" s="29" t="str">
        <x:v>Literature roster</x:v>
      </x:c>
    </x:row>
    <x:row r="629" ht="36" customHeight="1">
      <x:c r="A629" s="29" t="str">
        <x:v>Literature</x:v>
      </x:c>
      <x:c r="B629" s="33" t="str">
        <x:v>Sigrid Undset</x:v>
      </x:c>
      <x:c r="C629" s="35" t="n">
        <x:v>1928</x:v>
      </x:c>
      <x:c r="D629" s="36" t="str">
        <x:v>1928</x:v>
      </x:c>
      <x:c r="E629" s="36" t="str">
        <x:v>Person</x:v>
      </x:c>
      <x:c r="F629" s="37" t="str">
        <x:v>Not established here</x:v>
      </x:c>
      <x:c r="G629" s="33" t="str">
        <x:v>Not included in this affirmative shortlist. This is not a finding of non-genius.</x:v>
      </x:c>
      <x:c r="H629" s="29" t="str">
        <x:v>Literature roster</x:v>
      </x:c>
    </x:row>
    <x:row r="630" ht="36" customHeight="1">
      <x:c r="A630" s="29" t="str">
        <x:v>Literature</x:v>
      </x:c>
      <x:c r="B630" s="33" t="str">
        <x:v>Thomas Mann</x:v>
      </x:c>
      <x:c r="C630" s="35" t="n">
        <x:v>1929</x:v>
      </x:c>
      <x:c r="D630" s="36" t="str">
        <x:v>1929</x:v>
      </x:c>
      <x:c r="E630" s="36" t="str">
        <x:v>Person</x:v>
      </x:c>
      <x:c r="F630" s="37" t="str">
        <x:v>Clear</x:v>
      </x:c>
      <x:c r="G630" s="33" t="str">
        <x:v>Extraordinary novelistic architecture and intellectual imagination.</x:v>
      </x:c>
      <x:c r="H630" s="29" t="str">
        <x:v>Literature roster</x:v>
      </x:c>
    </x:row>
    <x:row r="631" ht="36" customHeight="1">
      <x:c r="A631" s="29" t="str">
        <x:v>Literature</x:v>
      </x:c>
      <x:c r="B631" s="33" t="str">
        <x:v>Sinclair Lewis</x:v>
      </x:c>
      <x:c r="C631" s="35" t="n">
        <x:v>1930</x:v>
      </x:c>
      <x:c r="D631" s="36" t="str">
        <x:v>1930</x:v>
      </x:c>
      <x:c r="E631" s="36" t="str">
        <x:v>Person</x:v>
      </x:c>
      <x:c r="F631" s="37" t="str">
        <x:v>Not established here</x:v>
      </x:c>
      <x:c r="G631" s="33" t="str">
        <x:v>Not included in this affirmative shortlist. This is not a finding of non-genius.</x:v>
      </x:c>
      <x:c r="H631" s="29" t="str">
        <x:v>Literature roster</x:v>
      </x:c>
    </x:row>
    <x:row r="632" ht="36" customHeight="1">
      <x:c r="A632" s="29" t="str">
        <x:v>Literature</x:v>
      </x:c>
      <x:c r="B632" s="33" t="str">
        <x:v>Erik Axel Karlfeldt</x:v>
      </x:c>
      <x:c r="C632" s="35" t="n">
        <x:v>1931</x:v>
      </x:c>
      <x:c r="D632" s="36" t="str">
        <x:v>1931</x:v>
      </x:c>
      <x:c r="E632" s="36" t="str">
        <x:v>Person</x:v>
      </x:c>
      <x:c r="F632" s="37" t="str">
        <x:v>Not established here</x:v>
      </x:c>
      <x:c r="G632" s="33" t="str">
        <x:v>Not included in this affirmative shortlist. This is not a finding of non-genius.</x:v>
      </x:c>
      <x:c r="H632" s="29" t="str">
        <x:v>Literature roster</x:v>
      </x:c>
    </x:row>
    <x:row r="633" ht="36" customHeight="1">
      <x:c r="A633" s="29" t="str">
        <x:v>Literature</x:v>
      </x:c>
      <x:c r="B633" s="33" t="str">
        <x:v>John Galsworthy</x:v>
      </x:c>
      <x:c r="C633" s="35" t="n">
        <x:v>1932</x:v>
      </x:c>
      <x:c r="D633" s="36" t="str">
        <x:v>1932</x:v>
      </x:c>
      <x:c r="E633" s="36" t="str">
        <x:v>Person</x:v>
      </x:c>
      <x:c r="F633" s="37" t="str">
        <x:v>Not established here</x:v>
      </x:c>
      <x:c r="G633" s="33" t="str">
        <x:v>Not included in this affirmative shortlist. This is not a finding of non-genius.</x:v>
      </x:c>
      <x:c r="H633" s="29" t="str">
        <x:v>Literature roster</x:v>
      </x:c>
    </x:row>
    <x:row r="634" ht="36" customHeight="1">
      <x:c r="A634" s="29" t="str">
        <x:v>Literature</x:v>
      </x:c>
      <x:c r="B634" s="33" t="str">
        <x:v>Ivan Bunin</x:v>
      </x:c>
      <x:c r="C634" s="35" t="n">
        <x:v>1933</x:v>
      </x:c>
      <x:c r="D634" s="36" t="str">
        <x:v>1933</x:v>
      </x:c>
      <x:c r="E634" s="36" t="str">
        <x:v>Person</x:v>
      </x:c>
      <x:c r="F634" s="37" t="str">
        <x:v>Not established here</x:v>
      </x:c>
      <x:c r="G634" s="33" t="str">
        <x:v>Not included in this affirmative shortlist. This is not a finding of non-genius.</x:v>
      </x:c>
      <x:c r="H634" s="29" t="str">
        <x:v>Literature roster</x:v>
      </x:c>
    </x:row>
    <x:row r="635" ht="36" customHeight="1">
      <x:c r="A635" s="29" t="str">
        <x:v>Literature</x:v>
      </x:c>
      <x:c r="B635" s="33" t="str">
        <x:v>Luigi Pirandello</x:v>
      </x:c>
      <x:c r="C635" s="35" t="n">
        <x:v>1934</x:v>
      </x:c>
      <x:c r="D635" s="36" t="str">
        <x:v>1934</x:v>
      </x:c>
      <x:c r="E635" s="36" t="str">
        <x:v>Person</x:v>
      </x:c>
      <x:c r="F635" s="37" t="str">
        <x:v>Clear</x:v>
      </x:c>
      <x:c r="G635" s="33" t="str">
        <x:v>Radical dramatic innovations in identity, reality and theatrical form.</x:v>
      </x:c>
      <x:c r="H635" s="29" t="str">
        <x:v>Literature roster</x:v>
      </x:c>
    </x:row>
    <x:row r="636" ht="36" customHeight="1">
      <x:c r="A636" s="29" t="str">
        <x:v>Literature</x:v>
      </x:c>
      <x:c r="B636" s="33" t="str">
        <x:v>Eugene O'Neill</x:v>
      </x:c>
      <x:c r="C636" s="35" t="n">
        <x:v>1936</x:v>
      </x:c>
      <x:c r="D636" s="36" t="str">
        <x:v>1936</x:v>
      </x:c>
      <x:c r="E636" s="36" t="str">
        <x:v>Person</x:v>
      </x:c>
      <x:c r="F636" s="37" t="str">
        <x:v>Borderline</x:v>
      </x:c>
      <x:c r="G636" s="33" t="str">
        <x:v>Strong case for exceptional originality, but I am less certain of equivalence to the user's very high benchmark.</x:v>
      </x:c>
      <x:c r="H636" s="29" t="str">
        <x:v>Literature roster</x:v>
      </x:c>
    </x:row>
    <x:row r="637" ht="36" customHeight="1">
      <x:c r="A637" s="29" t="str">
        <x:v>Literature</x:v>
      </x:c>
      <x:c r="B637" s="33" t="str">
        <x:v>Roger Martin du Gard</x:v>
      </x:c>
      <x:c r="C637" s="35" t="n">
        <x:v>1937</x:v>
      </x:c>
      <x:c r="D637" s="36" t="str">
        <x:v>1937</x:v>
      </x:c>
      <x:c r="E637" s="36" t="str">
        <x:v>Person</x:v>
      </x:c>
      <x:c r="F637" s="37" t="str">
        <x:v>Not established here</x:v>
      </x:c>
      <x:c r="G637" s="33" t="str">
        <x:v>Not included in this affirmative shortlist. This is not a finding of non-genius.</x:v>
      </x:c>
      <x:c r="H637" s="29" t="str">
        <x:v>Literature roster</x:v>
      </x:c>
    </x:row>
    <x:row r="638" ht="36" customHeight="1">
      <x:c r="A638" s="29" t="str">
        <x:v>Literature</x:v>
      </x:c>
      <x:c r="B638" s="33" t="str">
        <x:v>Pearl S. Buck</x:v>
      </x:c>
      <x:c r="C638" s="35" t="n">
        <x:v>1938</x:v>
      </x:c>
      <x:c r="D638" s="36" t="str">
        <x:v>1938</x:v>
      </x:c>
      <x:c r="E638" s="36" t="str">
        <x:v>Person</x:v>
      </x:c>
      <x:c r="F638" s="37" t="str">
        <x:v>Not established here</x:v>
      </x:c>
      <x:c r="G638" s="33" t="str">
        <x:v>Not included in this affirmative shortlist. This is not a finding of non-genius.</x:v>
      </x:c>
      <x:c r="H638" s="29" t="str">
        <x:v>Literature roster</x:v>
      </x:c>
    </x:row>
    <x:row r="639" ht="36" customHeight="1">
      <x:c r="A639" s="29" t="str">
        <x:v>Literature</x:v>
      </x:c>
      <x:c r="B639" s="33" t="str">
        <x:v>Frans Eemil Sillanpää</x:v>
      </x:c>
      <x:c r="C639" s="35" t="n">
        <x:v>1939</x:v>
      </x:c>
      <x:c r="D639" s="36" t="str">
        <x:v>1939</x:v>
      </x:c>
      <x:c r="E639" s="36" t="str">
        <x:v>Person</x:v>
      </x:c>
      <x:c r="F639" s="37" t="str">
        <x:v>Not established here</x:v>
      </x:c>
      <x:c r="G639" s="33" t="str">
        <x:v>Not included in this affirmative shortlist. This is not a finding of non-genius.</x:v>
      </x:c>
      <x:c r="H639" s="29" t="str">
        <x:v>Literature roster</x:v>
      </x:c>
    </x:row>
    <x:row r="640" ht="36" customHeight="1">
      <x:c r="A640" s="29" t="str">
        <x:v>Literature</x:v>
      </x:c>
      <x:c r="B640" s="33" t="str">
        <x:v>Johannes Vilhelm Jensen</x:v>
      </x:c>
      <x:c r="C640" s="35" t="n">
        <x:v>1944</x:v>
      </x:c>
      <x:c r="D640" s="36" t="str">
        <x:v>1944</x:v>
      </x:c>
      <x:c r="E640" s="36" t="str">
        <x:v>Person</x:v>
      </x:c>
      <x:c r="F640" s="37" t="str">
        <x:v>Not established here</x:v>
      </x:c>
      <x:c r="G640" s="33" t="str">
        <x:v>Not included in this affirmative shortlist. This is not a finding of non-genius.</x:v>
      </x:c>
      <x:c r="H640" s="29" t="str">
        <x:v>Literature roster</x:v>
      </x:c>
    </x:row>
    <x:row r="641" ht="36" customHeight="1">
      <x:c r="A641" s="29" t="str">
        <x:v>Literature</x:v>
      </x:c>
      <x:c r="B641" s="33" t="str">
        <x:v>Gabriela Mistral</x:v>
      </x:c>
      <x:c r="C641" s="35" t="n">
        <x:v>1945</x:v>
      </x:c>
      <x:c r="D641" s="36" t="str">
        <x:v>1945</x:v>
      </x:c>
      <x:c r="E641" s="36" t="str">
        <x:v>Person</x:v>
      </x:c>
      <x:c r="F641" s="37" t="str">
        <x:v>Not established here</x:v>
      </x:c>
      <x:c r="G641" s="33" t="str">
        <x:v>Not included in this affirmative shortlist. This is not a finding of non-genius.</x:v>
      </x:c>
      <x:c r="H641" s="29" t="str">
        <x:v>Literature roster</x:v>
      </x:c>
    </x:row>
    <x:row r="642" ht="36" customHeight="1">
      <x:c r="A642" s="29" t="str">
        <x:v>Literature</x:v>
      </x:c>
      <x:c r="B642" s="33" t="str">
        <x:v>Hermann Hesse</x:v>
      </x:c>
      <x:c r="C642" s="35" t="n">
        <x:v>1946</x:v>
      </x:c>
      <x:c r="D642" s="36" t="str">
        <x:v>1946</x:v>
      </x:c>
      <x:c r="E642" s="36" t="str">
        <x:v>Person</x:v>
      </x:c>
      <x:c r="F642" s="37" t="str">
        <x:v>Borderline</x:v>
      </x:c>
      <x:c r="G642" s="33" t="str">
        <x:v>Strong case for exceptional originality, but I am less certain of equivalence to the user's very high benchmark.</x:v>
      </x:c>
      <x:c r="H642" s="29" t="str">
        <x:v>Literature roster</x:v>
      </x:c>
    </x:row>
    <x:row r="643" ht="36" customHeight="1">
      <x:c r="A643" s="29" t="str">
        <x:v>Literature</x:v>
      </x:c>
      <x:c r="B643" s="33" t="str">
        <x:v>André Gide</x:v>
      </x:c>
      <x:c r="C643" s="35" t="n">
        <x:v>1947</x:v>
      </x:c>
      <x:c r="D643" s="36" t="str">
        <x:v>1947</x:v>
      </x:c>
      <x:c r="E643" s="36" t="str">
        <x:v>Person</x:v>
      </x:c>
      <x:c r="F643" s="37" t="str">
        <x:v>Borderline</x:v>
      </x:c>
      <x:c r="G643" s="33" t="str">
        <x:v>Strong case for exceptional originality, but I am less certain of equivalence to the user's very high benchmark.</x:v>
      </x:c>
      <x:c r="H643" s="29" t="str">
        <x:v>Literature roster</x:v>
      </x:c>
    </x:row>
    <x:row r="644" ht="36" customHeight="1">
      <x:c r="A644" s="29" t="str">
        <x:v>Literature</x:v>
      </x:c>
      <x:c r="B644" s="33" t="str">
        <x:v>T. S. Eliot</x:v>
      </x:c>
      <x:c r="C644" s="35" t="n">
        <x:v>1948</x:v>
      </x:c>
      <x:c r="D644" s="36" t="str">
        <x:v>1948</x:v>
      </x:c>
      <x:c r="E644" s="36" t="str">
        <x:v>Person</x:v>
      </x:c>
      <x:c r="F644" s="37" t="str">
        <x:v>Clear</x:v>
      </x:c>
      <x:c r="G644" s="33" t="str">
        <x:v>Transformative poetic form and modernist imagination.</x:v>
      </x:c>
      <x:c r="H644" s="29" t="str">
        <x:v>Literature roster</x:v>
      </x:c>
    </x:row>
    <x:row r="645" ht="36" customHeight="1">
      <x:c r="A645" s="29" t="str">
        <x:v>Literature</x:v>
      </x:c>
      <x:c r="B645" s="33" t="str">
        <x:v>William Faulkner</x:v>
      </x:c>
      <x:c r="C645" s="35" t="n">
        <x:v>1949</x:v>
      </x:c>
      <x:c r="D645" s="36" t="str">
        <x:v>1949</x:v>
      </x:c>
      <x:c r="E645" s="36" t="str">
        <x:v>Person</x:v>
      </x:c>
      <x:c r="F645" s="37" t="str">
        <x:v>Clear</x:v>
      </x:c>
      <x:c r="G645" s="33" t="str">
        <x:v>Radically original narrative structures and imaginative world.</x:v>
      </x:c>
      <x:c r="H645" s="29" t="str">
        <x:v>Literature roster</x:v>
      </x:c>
    </x:row>
    <x:row r="646" ht="36" customHeight="1">
      <x:c r="A646" s="29" t="str">
        <x:v>Literature</x:v>
      </x:c>
      <x:c r="B646" s="33" t="str">
        <x:v>Bertrand Russell</x:v>
      </x:c>
      <x:c r="C646" s="35" t="n">
        <x:v>1950</x:v>
      </x:c>
      <x:c r="D646" s="36" t="str">
        <x:v>1950</x:v>
      </x:c>
      <x:c r="E646" s="36" t="str">
        <x:v>Person</x:v>
      </x:c>
      <x:c r="F646" s="37" t="str">
        <x:v>Clear</x:v>
      </x:c>
      <x:c r="G646" s="33" t="str">
        <x:v>Foundational mathematical logic and exceptional intellectual originality.</x:v>
      </x:c>
      <x:c r="H646" s="29" t="str">
        <x:v>Literature roster</x:v>
      </x:c>
    </x:row>
    <x:row r="647" ht="36" customHeight="1">
      <x:c r="A647" s="29" t="str">
        <x:v>Literature</x:v>
      </x:c>
      <x:c r="B647" s="33" t="str">
        <x:v>Pär Lagerkvist</x:v>
      </x:c>
      <x:c r="C647" s="35" t="n">
        <x:v>1951</x:v>
      </x:c>
      <x:c r="D647" s="36" t="str">
        <x:v>1951</x:v>
      </x:c>
      <x:c r="E647" s="36" t="str">
        <x:v>Person</x:v>
      </x:c>
      <x:c r="F647" s="37" t="str">
        <x:v>Not established here</x:v>
      </x:c>
      <x:c r="G647" s="33" t="str">
        <x:v>Not included in this affirmative shortlist. This is not a finding of non-genius.</x:v>
      </x:c>
      <x:c r="H647" s="29" t="str">
        <x:v>Literature roster</x:v>
      </x:c>
    </x:row>
    <x:row r="648" ht="36" customHeight="1">
      <x:c r="A648" s="29" t="str">
        <x:v>Literature</x:v>
      </x:c>
      <x:c r="B648" s="33" t="str">
        <x:v>François Mauriac</x:v>
      </x:c>
      <x:c r="C648" s="35" t="n">
        <x:v>1952</x:v>
      </x:c>
      <x:c r="D648" s="36" t="str">
        <x:v>1952</x:v>
      </x:c>
      <x:c r="E648" s="36" t="str">
        <x:v>Person</x:v>
      </x:c>
      <x:c r="F648" s="37" t="str">
        <x:v>Not established here</x:v>
      </x:c>
      <x:c r="G648" s="33" t="str">
        <x:v>Not included in this affirmative shortlist. This is not a finding of non-genius.</x:v>
      </x:c>
      <x:c r="H648" s="29" t="str">
        <x:v>Literature roster</x:v>
      </x:c>
    </x:row>
    <x:row r="649" ht="36" customHeight="1">
      <x:c r="A649" s="29" t="str">
        <x:v>Literature</x:v>
      </x:c>
      <x:c r="B649" s="33" t="str">
        <x:v>Winston Churchill</x:v>
      </x:c>
      <x:c r="C649" s="35" t="n">
        <x:v>1953</x:v>
      </x:c>
      <x:c r="D649" s="36" t="str">
        <x:v>1953</x:v>
      </x:c>
      <x:c r="E649" s="36" t="str">
        <x:v>Person</x:v>
      </x:c>
      <x:c r="F649" s="37" t="str">
        <x:v>Not established here</x:v>
      </x:c>
      <x:c r="G649" s="33" t="str">
        <x:v>Not included in this affirmative shortlist. This is not a finding of non-genius.</x:v>
      </x:c>
      <x:c r="H649" s="29" t="str">
        <x:v>Literature roster</x:v>
      </x:c>
    </x:row>
    <x:row r="650" ht="36" customHeight="1">
      <x:c r="A650" s="29" t="str">
        <x:v>Literature</x:v>
      </x:c>
      <x:c r="B650" s="33" t="str">
        <x:v>Ernest Hemingway</x:v>
      </x:c>
      <x:c r="C650" s="35" t="n">
        <x:v>1954</x:v>
      </x:c>
      <x:c r="D650" s="36" t="str">
        <x:v>1954</x:v>
      </x:c>
      <x:c r="E650" s="36" t="str">
        <x:v>Person</x:v>
      </x:c>
      <x:c r="F650" s="37" t="str">
        <x:v>Clear</x:v>
      </x:c>
      <x:c r="G650" s="33" t="str">
        <x:v>Transformative prose and narrative compression.</x:v>
      </x:c>
      <x:c r="H650" s="29" t="str">
        <x:v>Literature roster</x:v>
      </x:c>
    </x:row>
    <x:row r="651" ht="36" customHeight="1">
      <x:c r="A651" s="29" t="str">
        <x:v>Literature</x:v>
      </x:c>
      <x:c r="B651" s="33" t="str">
        <x:v>Halldór Laxness</x:v>
      </x:c>
      <x:c r="C651" s="35" t="n">
        <x:v>1955</x:v>
      </x:c>
      <x:c r="D651" s="36" t="str">
        <x:v>1955</x:v>
      </x:c>
      <x:c r="E651" s="36" t="str">
        <x:v>Person</x:v>
      </x:c>
      <x:c r="F651" s="37" t="str">
        <x:v>Not established here</x:v>
      </x:c>
      <x:c r="G651" s="33" t="str">
        <x:v>Not included in this affirmative shortlist. This is not a finding of non-genius.</x:v>
      </x:c>
      <x:c r="H651" s="29" t="str">
        <x:v>Literature roster</x:v>
      </x:c>
    </x:row>
    <x:row r="652" ht="36" customHeight="1">
      <x:c r="A652" s="29" t="str">
        <x:v>Literature</x:v>
      </x:c>
      <x:c r="B652" s="33" t="str">
        <x:v>Juan Ramón Jiménez</x:v>
      </x:c>
      <x:c r="C652" s="35" t="n">
        <x:v>1956</x:v>
      </x:c>
      <x:c r="D652" s="36" t="str">
        <x:v>1956</x:v>
      </x:c>
      <x:c r="E652" s="36" t="str">
        <x:v>Person</x:v>
      </x:c>
      <x:c r="F652" s="37" t="str">
        <x:v>Not established here</x:v>
      </x:c>
      <x:c r="G652" s="33" t="str">
        <x:v>Not included in this affirmative shortlist. This is not a finding of non-genius.</x:v>
      </x:c>
      <x:c r="H652" s="29" t="str">
        <x:v>Literature roster</x:v>
      </x:c>
    </x:row>
    <x:row r="653" ht="36" customHeight="1">
      <x:c r="A653" s="29" t="str">
        <x:v>Literature</x:v>
      </x:c>
      <x:c r="B653" s="33" t="str">
        <x:v>Albert Camus</x:v>
      </x:c>
      <x:c r="C653" s="35" t="n">
        <x:v>1957</x:v>
      </x:c>
      <x:c r="D653" s="36" t="str">
        <x:v>1957</x:v>
      </x:c>
      <x:c r="E653" s="36" t="str">
        <x:v>Person</x:v>
      </x:c>
      <x:c r="F653" s="37" t="str">
        <x:v>Borderline</x:v>
      </x:c>
      <x:c r="G653" s="33" t="str">
        <x:v>Strong case for exceptional originality, but I am less certain of equivalence to the user's very high benchmark.</x:v>
      </x:c>
      <x:c r="H653" s="29" t="str">
        <x:v>Literature roster</x:v>
      </x:c>
    </x:row>
    <x:row r="654" ht="36" customHeight="1">
      <x:c r="A654" s="29" t="str">
        <x:v>Literature</x:v>
      </x:c>
      <x:c r="B654" s="33" t="str">
        <x:v>Boris Pasternak</x:v>
      </x:c>
      <x:c r="C654" s="35" t="n">
        <x:v>1958</x:v>
      </x:c>
      <x:c r="D654" s="36" t="str">
        <x:v>1958</x:v>
      </x:c>
      <x:c r="E654" s="36" t="str">
        <x:v>Person</x:v>
      </x:c>
      <x:c r="F654" s="37" t="str">
        <x:v>Borderline</x:v>
      </x:c>
      <x:c r="G654" s="33" t="str">
        <x:v>Strong case for exceptional originality, but I am less certain of equivalence to the user's very high benchmark.</x:v>
      </x:c>
      <x:c r="H654" s="29" t="str">
        <x:v>Literature roster</x:v>
      </x:c>
    </x:row>
    <x:row r="655" ht="36" customHeight="1">
      <x:c r="A655" s="29" t="str">
        <x:v>Literature</x:v>
      </x:c>
      <x:c r="B655" s="33" t="str">
        <x:v>Salvatore Quasimodo</x:v>
      </x:c>
      <x:c r="C655" s="35" t="n">
        <x:v>1959</x:v>
      </x:c>
      <x:c r="D655" s="36" t="str">
        <x:v>1959</x:v>
      </x:c>
      <x:c r="E655" s="36" t="str">
        <x:v>Person</x:v>
      </x:c>
      <x:c r="F655" s="37" t="str">
        <x:v>Not established here</x:v>
      </x:c>
      <x:c r="G655" s="33" t="str">
        <x:v>Not included in this affirmative shortlist. This is not a finding of non-genius.</x:v>
      </x:c>
      <x:c r="H655" s="29" t="str">
        <x:v>Literature roster</x:v>
      </x:c>
    </x:row>
    <x:row r="656" ht="36" customHeight="1">
      <x:c r="A656" s="29" t="str">
        <x:v>Literature</x:v>
      </x:c>
      <x:c r="B656" s="33" t="str">
        <x:v>Saint-John Perse</x:v>
      </x:c>
      <x:c r="C656" s="35" t="n">
        <x:v>1960</x:v>
      </x:c>
      <x:c r="D656" s="36" t="str">
        <x:v>1960</x:v>
      </x:c>
      <x:c r="E656" s="36" t="str">
        <x:v>Person</x:v>
      </x:c>
      <x:c r="F656" s="37" t="str">
        <x:v>Not established here</x:v>
      </x:c>
      <x:c r="G656" s="33" t="str">
        <x:v>Not included in this affirmative shortlist. This is not a finding of non-genius.</x:v>
      </x:c>
      <x:c r="H656" s="29" t="str">
        <x:v>Literature roster</x:v>
      </x:c>
    </x:row>
    <x:row r="657" ht="36" customHeight="1">
      <x:c r="A657" s="29" t="str">
        <x:v>Literature</x:v>
      </x:c>
      <x:c r="B657" s="33" t="str">
        <x:v>Ivo Andrić</x:v>
      </x:c>
      <x:c r="C657" s="35" t="n">
        <x:v>1961</x:v>
      </x:c>
      <x:c r="D657" s="36" t="str">
        <x:v>1961</x:v>
      </x:c>
      <x:c r="E657" s="36" t="str">
        <x:v>Person</x:v>
      </x:c>
      <x:c r="F657" s="37" t="str">
        <x:v>Not established here</x:v>
      </x:c>
      <x:c r="G657" s="33" t="str">
        <x:v>Not included in this affirmative shortlist. This is not a finding of non-genius.</x:v>
      </x:c>
      <x:c r="H657" s="29" t="str">
        <x:v>Literature roster</x:v>
      </x:c>
    </x:row>
    <x:row r="658" ht="36" customHeight="1">
      <x:c r="A658" s="29" t="str">
        <x:v>Literature</x:v>
      </x:c>
      <x:c r="B658" s="33" t="str">
        <x:v>John Steinbeck</x:v>
      </x:c>
      <x:c r="C658" s="35" t="n">
        <x:v>1962</x:v>
      </x:c>
      <x:c r="D658" s="36" t="str">
        <x:v>1962</x:v>
      </x:c>
      <x:c r="E658" s="36" t="str">
        <x:v>Person</x:v>
      </x:c>
      <x:c r="F658" s="37" t="str">
        <x:v>Not established here</x:v>
      </x:c>
      <x:c r="G658" s="33" t="str">
        <x:v>Not included in this affirmative shortlist. This is not a finding of non-genius.</x:v>
      </x:c>
      <x:c r="H658" s="29" t="str">
        <x:v>Literature roster</x:v>
      </x:c>
    </x:row>
    <x:row r="659" ht="36" customHeight="1">
      <x:c r="A659" s="29" t="str">
        <x:v>Literature</x:v>
      </x:c>
      <x:c r="B659" s="33" t="str">
        <x:v>Giorgos Seferis</x:v>
      </x:c>
      <x:c r="C659" s="35" t="n">
        <x:v>1963</x:v>
      </x:c>
      <x:c r="D659" s="36" t="str">
        <x:v>1963</x:v>
      </x:c>
      <x:c r="E659" s="36" t="str">
        <x:v>Person</x:v>
      </x:c>
      <x:c r="F659" s="37" t="str">
        <x:v>Not established here</x:v>
      </x:c>
      <x:c r="G659" s="33" t="str">
        <x:v>Not included in this affirmative shortlist. This is not a finding of non-genius.</x:v>
      </x:c>
      <x:c r="H659" s="29" t="str">
        <x:v>Literature roster</x:v>
      </x:c>
    </x:row>
    <x:row r="660" ht="36" customHeight="1">
      <x:c r="A660" s="29" t="str">
        <x:v>Literature</x:v>
      </x:c>
      <x:c r="B660" s="33" t="str">
        <x:v>Jean-Paul Sartre</x:v>
      </x:c>
      <x:c r="C660" s="35" t="n">
        <x:v>1964</x:v>
      </x:c>
      <x:c r="D660" s="36" t="str">
        <x:v>1964</x:v>
      </x:c>
      <x:c r="E660" s="36" t="str">
        <x:v>Person</x:v>
      </x:c>
      <x:c r="F660" s="37" t="str">
        <x:v>Borderline</x:v>
      </x:c>
      <x:c r="G660" s="33" t="str">
        <x:v>Strong case for exceptional originality, but I am less certain of equivalence to the user's very high benchmark.</x:v>
      </x:c>
      <x:c r="H660" s="29" t="str">
        <x:v>Literature roster</x:v>
      </x:c>
    </x:row>
    <x:row r="661" ht="36" customHeight="1">
      <x:c r="A661" s="29" t="str">
        <x:v>Literature</x:v>
      </x:c>
      <x:c r="B661" s="33" t="str">
        <x:v>Mikhail Sholokhov</x:v>
      </x:c>
      <x:c r="C661" s="35" t="n">
        <x:v>1965</x:v>
      </x:c>
      <x:c r="D661" s="36" t="str">
        <x:v>1965</x:v>
      </x:c>
      <x:c r="E661" s="36" t="str">
        <x:v>Person</x:v>
      </x:c>
      <x:c r="F661" s="37" t="str">
        <x:v>Not established here</x:v>
      </x:c>
      <x:c r="G661" s="33" t="str">
        <x:v>Not included in this affirmative shortlist. This is not a finding of non-genius.</x:v>
      </x:c>
      <x:c r="H661" s="29" t="str">
        <x:v>Literature roster</x:v>
      </x:c>
    </x:row>
    <x:row r="662" ht="36" customHeight="1">
      <x:c r="A662" s="29" t="str">
        <x:v>Literature</x:v>
      </x:c>
      <x:c r="B662" s="33" t="str">
        <x:v>Nelly Sachs</x:v>
      </x:c>
      <x:c r="C662" s="35" t="n">
        <x:v>1966</x:v>
      </x:c>
      <x:c r="D662" s="36" t="str">
        <x:v>1966</x:v>
      </x:c>
      <x:c r="E662" s="36" t="str">
        <x:v>Person</x:v>
      </x:c>
      <x:c r="F662" s="37" t="str">
        <x:v>Not established here</x:v>
      </x:c>
      <x:c r="G662" s="33" t="str">
        <x:v>Not included in this affirmative shortlist. This is not a finding of non-genius.</x:v>
      </x:c>
      <x:c r="H662" s="29" t="str">
        <x:v>Literature roster</x:v>
      </x:c>
    </x:row>
    <x:row r="663" ht="36" customHeight="1">
      <x:c r="A663" s="29" t="str">
        <x:v>Literature</x:v>
      </x:c>
      <x:c r="B663" s="33" t="str">
        <x:v>Shmuel Yosef Agnon</x:v>
      </x:c>
      <x:c r="C663" s="35" t="n">
        <x:v>1966</x:v>
      </x:c>
      <x:c r="D663" s="36" t="str">
        <x:v>1966</x:v>
      </x:c>
      <x:c r="E663" s="36" t="str">
        <x:v>Person</x:v>
      </x:c>
      <x:c r="F663" s="37" t="str">
        <x:v>Not established here</x:v>
      </x:c>
      <x:c r="G663" s="33" t="str">
        <x:v>Not included in this affirmative shortlist. This is not a finding of non-genius.</x:v>
      </x:c>
      <x:c r="H663" s="29" t="str">
        <x:v>Literature roster</x:v>
      </x:c>
    </x:row>
    <x:row r="664" ht="36" customHeight="1">
      <x:c r="A664" s="29" t="str">
        <x:v>Literature</x:v>
      </x:c>
      <x:c r="B664" s="33" t="str">
        <x:v>Miguel Ángel Asturias</x:v>
      </x:c>
      <x:c r="C664" s="35" t="n">
        <x:v>1967</x:v>
      </x:c>
      <x:c r="D664" s="36" t="str">
        <x:v>1967</x:v>
      </x:c>
      <x:c r="E664" s="36" t="str">
        <x:v>Person</x:v>
      </x:c>
      <x:c r="F664" s="37" t="str">
        <x:v>Not established here</x:v>
      </x:c>
      <x:c r="G664" s="33" t="str">
        <x:v>Not included in this affirmative shortlist. This is not a finding of non-genius.</x:v>
      </x:c>
      <x:c r="H664" s="29" t="str">
        <x:v>Literature roster</x:v>
      </x:c>
    </x:row>
    <x:row r="665" ht="36" customHeight="1">
      <x:c r="A665" s="29" t="str">
        <x:v>Literature</x:v>
      </x:c>
      <x:c r="B665" s="33" t="str">
        <x:v>Yasunari Kawabata</x:v>
      </x:c>
      <x:c r="C665" s="35" t="n">
        <x:v>1968</x:v>
      </x:c>
      <x:c r="D665" s="36" t="str">
        <x:v>1968</x:v>
      </x:c>
      <x:c r="E665" s="36" t="str">
        <x:v>Person</x:v>
      </x:c>
      <x:c r="F665" s="37" t="str">
        <x:v>Not established here</x:v>
      </x:c>
      <x:c r="G665" s="33" t="str">
        <x:v>Not included in this affirmative shortlist. This is not a finding of non-genius.</x:v>
      </x:c>
      <x:c r="H665" s="29" t="str">
        <x:v>Literature roster</x:v>
      </x:c>
    </x:row>
    <x:row r="666" ht="36" customHeight="1">
      <x:c r="A666" s="29" t="str">
        <x:v>Literature</x:v>
      </x:c>
      <x:c r="B666" s="33" t="str">
        <x:v>Samuel Beckett</x:v>
      </x:c>
      <x:c r="C666" s="35" t="n">
        <x:v>1969</x:v>
      </x:c>
      <x:c r="D666" s="36" t="str">
        <x:v>1969</x:v>
      </x:c>
      <x:c r="E666" s="36" t="str">
        <x:v>Person</x:v>
      </x:c>
      <x:c r="F666" s="37" t="str">
        <x:v>Clear</x:v>
      </x:c>
      <x:c r="G666" s="33" t="str">
        <x:v>Radically original literary and dramatic forms.</x:v>
      </x:c>
      <x:c r="H666" s="29" t="str">
        <x:v>Literature roster</x:v>
      </x:c>
    </x:row>
    <x:row r="667" ht="36" customHeight="1">
      <x:c r="A667" s="29" t="str">
        <x:v>Literature</x:v>
      </x:c>
      <x:c r="B667" s="33" t="str">
        <x:v>Aleksandr Solzhenitsyn</x:v>
      </x:c>
      <x:c r="C667" s="35" t="n">
        <x:v>1970</x:v>
      </x:c>
      <x:c r="D667" s="36" t="str">
        <x:v>1970</x:v>
      </x:c>
      <x:c r="E667" s="36" t="str">
        <x:v>Person</x:v>
      </x:c>
      <x:c r="F667" s="37" t="str">
        <x:v>Borderline</x:v>
      </x:c>
      <x:c r="G667" s="33" t="str">
        <x:v>Strong case for exceptional originality, but I am less certain of equivalence to the user's very high benchmark.</x:v>
      </x:c>
      <x:c r="H667" s="29" t="str">
        <x:v>Literature roster</x:v>
      </x:c>
    </x:row>
    <x:row r="668" ht="36" customHeight="1">
      <x:c r="A668" s="29" t="str">
        <x:v>Literature</x:v>
      </x:c>
      <x:c r="B668" s="33" t="str">
        <x:v>Pablo Neruda</x:v>
      </x:c>
      <x:c r="C668" s="35" t="n">
        <x:v>1971</x:v>
      </x:c>
      <x:c r="D668" s="36" t="str">
        <x:v>1971</x:v>
      </x:c>
      <x:c r="E668" s="36" t="str">
        <x:v>Person</x:v>
      </x:c>
      <x:c r="F668" s="37" t="str">
        <x:v>Clear</x:v>
      </x:c>
      <x:c r="G668" s="33" t="str">
        <x:v>Exceptional poetic invention across several forms.</x:v>
      </x:c>
      <x:c r="H668" s="29" t="str">
        <x:v>Literature roster</x:v>
      </x:c>
    </x:row>
    <x:row r="669" ht="36" customHeight="1">
      <x:c r="A669" s="29" t="str">
        <x:v>Literature</x:v>
      </x:c>
      <x:c r="B669" s="33" t="str">
        <x:v>Heinrich Böll</x:v>
      </x:c>
      <x:c r="C669" s="35" t="n">
        <x:v>1972</x:v>
      </x:c>
      <x:c r="D669" s="36" t="str">
        <x:v>1972</x:v>
      </x:c>
      <x:c r="E669" s="36" t="str">
        <x:v>Person</x:v>
      </x:c>
      <x:c r="F669" s="37" t="str">
        <x:v>Not established here</x:v>
      </x:c>
      <x:c r="G669" s="33" t="str">
        <x:v>Not included in this affirmative shortlist. This is not a finding of non-genius.</x:v>
      </x:c>
      <x:c r="H669" s="29" t="str">
        <x:v>Literature roster</x:v>
      </x:c>
    </x:row>
    <x:row r="670" ht="36" customHeight="1">
      <x:c r="A670" s="29" t="str">
        <x:v>Literature</x:v>
      </x:c>
      <x:c r="B670" s="33" t="str">
        <x:v>Patrick White</x:v>
      </x:c>
      <x:c r="C670" s="35" t="n">
        <x:v>1973</x:v>
      </x:c>
      <x:c r="D670" s="36" t="str">
        <x:v>1973</x:v>
      </x:c>
      <x:c r="E670" s="36" t="str">
        <x:v>Person</x:v>
      </x:c>
      <x:c r="F670" s="37" t="str">
        <x:v>Not established here</x:v>
      </x:c>
      <x:c r="G670" s="33" t="str">
        <x:v>Not included in this affirmative shortlist. This is not a finding of non-genius.</x:v>
      </x:c>
      <x:c r="H670" s="29" t="str">
        <x:v>Literature roster</x:v>
      </x:c>
    </x:row>
    <x:row r="671" ht="36" customHeight="1">
      <x:c r="A671" s="29" t="str">
        <x:v>Literature</x:v>
      </x:c>
      <x:c r="B671" s="33" t="str">
        <x:v>Eyvind Johnson</x:v>
      </x:c>
      <x:c r="C671" s="35" t="n">
        <x:v>1974</x:v>
      </x:c>
      <x:c r="D671" s="36" t="str">
        <x:v>1974</x:v>
      </x:c>
      <x:c r="E671" s="36" t="str">
        <x:v>Person</x:v>
      </x:c>
      <x:c r="F671" s="37" t="str">
        <x:v>Not established here</x:v>
      </x:c>
      <x:c r="G671" s="33" t="str">
        <x:v>Not included in this affirmative shortlist. This is not a finding of non-genius.</x:v>
      </x:c>
      <x:c r="H671" s="29" t="str">
        <x:v>Literature roster</x:v>
      </x:c>
    </x:row>
    <x:row r="672" ht="36" customHeight="1">
      <x:c r="A672" s="29" t="str">
        <x:v>Literature</x:v>
      </x:c>
      <x:c r="B672" s="33" t="str">
        <x:v>Harry Martinson</x:v>
      </x:c>
      <x:c r="C672" s="35" t="n">
        <x:v>1974</x:v>
      </x:c>
      <x:c r="D672" s="36" t="str">
        <x:v>1974</x:v>
      </x:c>
      <x:c r="E672" s="36" t="str">
        <x:v>Person</x:v>
      </x:c>
      <x:c r="F672" s="37" t="str">
        <x:v>Not established here</x:v>
      </x:c>
      <x:c r="G672" s="33" t="str">
        <x:v>Not included in this affirmative shortlist. This is not a finding of non-genius.</x:v>
      </x:c>
      <x:c r="H672" s="29" t="str">
        <x:v>Literature roster</x:v>
      </x:c>
    </x:row>
    <x:row r="673" ht="36" customHeight="1">
      <x:c r="A673" s="29" t="str">
        <x:v>Literature</x:v>
      </x:c>
      <x:c r="B673" s="33" t="str">
        <x:v>Eugenio Montale</x:v>
      </x:c>
      <x:c r="C673" s="35" t="n">
        <x:v>1975</x:v>
      </x:c>
      <x:c r="D673" s="36" t="str">
        <x:v>1975</x:v>
      </x:c>
      <x:c r="E673" s="36" t="str">
        <x:v>Person</x:v>
      </x:c>
      <x:c r="F673" s="37" t="str">
        <x:v>Not established here</x:v>
      </x:c>
      <x:c r="G673" s="33" t="str">
        <x:v>Not included in this affirmative shortlist. This is not a finding of non-genius.</x:v>
      </x:c>
      <x:c r="H673" s="29" t="str">
        <x:v>Literature roster</x:v>
      </x:c>
    </x:row>
    <x:row r="674" ht="36" customHeight="1">
      <x:c r="A674" s="29" t="str">
        <x:v>Literature</x:v>
      </x:c>
      <x:c r="B674" s="33" t="str">
        <x:v>Saul Bellow</x:v>
      </x:c>
      <x:c r="C674" s="35" t="n">
        <x:v>1976</x:v>
      </x:c>
      <x:c r="D674" s="36" t="str">
        <x:v>1976</x:v>
      </x:c>
      <x:c r="E674" s="36" t="str">
        <x:v>Person</x:v>
      </x:c>
      <x:c r="F674" s="37" t="str">
        <x:v>Borderline</x:v>
      </x:c>
      <x:c r="G674" s="33" t="str">
        <x:v>Strong case for exceptional originality, but I am less certain of equivalence to the user's very high benchmark.</x:v>
      </x:c>
      <x:c r="H674" s="29" t="str">
        <x:v>Literature roster</x:v>
      </x:c>
    </x:row>
    <x:row r="675" ht="36" customHeight="1">
      <x:c r="A675" s="29" t="str">
        <x:v>Literature</x:v>
      </x:c>
      <x:c r="B675" s="33" t="str">
        <x:v>Vicente Aleixandre</x:v>
      </x:c>
      <x:c r="C675" s="35" t="n">
        <x:v>1977</x:v>
      </x:c>
      <x:c r="D675" s="36" t="str">
        <x:v>1977</x:v>
      </x:c>
      <x:c r="E675" s="36" t="str">
        <x:v>Person</x:v>
      </x:c>
      <x:c r="F675" s="37" t="str">
        <x:v>Not established here</x:v>
      </x:c>
      <x:c r="G675" s="33" t="str">
        <x:v>Not included in this affirmative shortlist. This is not a finding of non-genius.</x:v>
      </x:c>
      <x:c r="H675" s="29" t="str">
        <x:v>Literature roster</x:v>
      </x:c>
    </x:row>
    <x:row r="676" ht="36" customHeight="1">
      <x:c r="A676" s="29" t="str">
        <x:v>Literature</x:v>
      </x:c>
      <x:c r="B676" s="33" t="str">
        <x:v>Isaac Bashevis Singer</x:v>
      </x:c>
      <x:c r="C676" s="35" t="n">
        <x:v>1978</x:v>
      </x:c>
      <x:c r="D676" s="36" t="str">
        <x:v>1978</x:v>
      </x:c>
      <x:c r="E676" s="36" t="str">
        <x:v>Person</x:v>
      </x:c>
      <x:c r="F676" s="37" t="str">
        <x:v>Borderline</x:v>
      </x:c>
      <x:c r="G676" s="33" t="str">
        <x:v>Strong case for exceptional originality, but I am less certain of equivalence to the user's very high benchmark.</x:v>
      </x:c>
      <x:c r="H676" s="29" t="str">
        <x:v>Literature roster</x:v>
      </x:c>
    </x:row>
    <x:row r="677" ht="36" customHeight="1">
      <x:c r="A677" s="29" t="str">
        <x:v>Literature</x:v>
      </x:c>
      <x:c r="B677" s="33" t="str">
        <x:v>Odysseas Elytis</x:v>
      </x:c>
      <x:c r="C677" s="35" t="n">
        <x:v>1979</x:v>
      </x:c>
      <x:c r="D677" s="36" t="str">
        <x:v>1979</x:v>
      </x:c>
      <x:c r="E677" s="36" t="str">
        <x:v>Person</x:v>
      </x:c>
      <x:c r="F677" s="37" t="str">
        <x:v>Not established here</x:v>
      </x:c>
      <x:c r="G677" s="33" t="str">
        <x:v>Not included in this affirmative shortlist. This is not a finding of non-genius.</x:v>
      </x:c>
      <x:c r="H677" s="29" t="str">
        <x:v>Literature roster</x:v>
      </x:c>
    </x:row>
    <x:row r="678" ht="36" customHeight="1">
      <x:c r="A678" s="29" t="str">
        <x:v>Literature</x:v>
      </x:c>
      <x:c r="B678" s="33" t="str">
        <x:v>Czesław Miłosz</x:v>
      </x:c>
      <x:c r="C678" s="35" t="n">
        <x:v>1980</x:v>
      </x:c>
      <x:c r="D678" s="36" t="str">
        <x:v>1980</x:v>
      </x:c>
      <x:c r="E678" s="36" t="str">
        <x:v>Person</x:v>
      </x:c>
      <x:c r="F678" s="37" t="str">
        <x:v>Borderline</x:v>
      </x:c>
      <x:c r="G678" s="33" t="str">
        <x:v>Strong case for exceptional originality, but I am less certain of equivalence to the user's very high benchmark.</x:v>
      </x:c>
      <x:c r="H678" s="29" t="str">
        <x:v>Literature roster</x:v>
      </x:c>
    </x:row>
    <x:row r="679" ht="36" customHeight="1">
      <x:c r="A679" s="29" t="str">
        <x:v>Literature</x:v>
      </x:c>
      <x:c r="B679" s="33" t="str">
        <x:v>Elias Canetti</x:v>
      </x:c>
      <x:c r="C679" s="35" t="n">
        <x:v>1981</x:v>
      </x:c>
      <x:c r="D679" s="36" t="str">
        <x:v>1981</x:v>
      </x:c>
      <x:c r="E679" s="36" t="str">
        <x:v>Person</x:v>
      </x:c>
      <x:c r="F679" s="37" t="str">
        <x:v>Not established here</x:v>
      </x:c>
      <x:c r="G679" s="33" t="str">
        <x:v>Not included in this affirmative shortlist. This is not a finding of non-genius.</x:v>
      </x:c>
      <x:c r="H679" s="29" t="str">
        <x:v>Literature roster</x:v>
      </x:c>
    </x:row>
    <x:row r="680" ht="36" customHeight="1">
      <x:c r="A680" s="29" t="str">
        <x:v>Literature</x:v>
      </x:c>
      <x:c r="B680" s="33" t="str">
        <x:v>Gabriel García Márquez</x:v>
      </x:c>
      <x:c r="C680" s="35" t="n">
        <x:v>1982</x:v>
      </x:c>
      <x:c r="D680" s="36" t="str">
        <x:v>1982</x:v>
      </x:c>
      <x:c r="E680" s="36" t="str">
        <x:v>Person</x:v>
      </x:c>
      <x:c r="F680" s="37" t="str">
        <x:v>Clear</x:v>
      </x:c>
      <x:c r="G680" s="33" t="str">
        <x:v>Transformative novelistic imagination and narrative invention.</x:v>
      </x:c>
      <x:c r="H680" s="29" t="str">
        <x:v>Literature roster</x:v>
      </x:c>
    </x:row>
    <x:row r="681" ht="36" customHeight="1">
      <x:c r="A681" s="29" t="str">
        <x:v>Literature</x:v>
      </x:c>
      <x:c r="B681" s="33" t="str">
        <x:v>William Golding</x:v>
      </x:c>
      <x:c r="C681" s="35" t="n">
        <x:v>1983</x:v>
      </x:c>
      <x:c r="D681" s="36" t="str">
        <x:v>1983</x:v>
      </x:c>
      <x:c r="E681" s="36" t="str">
        <x:v>Person</x:v>
      </x:c>
      <x:c r="F681" s="37" t="str">
        <x:v>Not established here</x:v>
      </x:c>
      <x:c r="G681" s="33" t="str">
        <x:v>Not included in this affirmative shortlist. This is not a finding of non-genius.</x:v>
      </x:c>
      <x:c r="H681" s="29" t="str">
        <x:v>Literature roster</x:v>
      </x:c>
    </x:row>
    <x:row r="682" ht="36" customHeight="1">
      <x:c r="A682" s="29" t="str">
        <x:v>Literature</x:v>
      </x:c>
      <x:c r="B682" s="33" t="str">
        <x:v>Jaroslav Seifert</x:v>
      </x:c>
      <x:c r="C682" s="35" t="n">
        <x:v>1984</x:v>
      </x:c>
      <x:c r="D682" s="36" t="str">
        <x:v>1984</x:v>
      </x:c>
      <x:c r="E682" s="36" t="str">
        <x:v>Person</x:v>
      </x:c>
      <x:c r="F682" s="37" t="str">
        <x:v>Not established here</x:v>
      </x:c>
      <x:c r="G682" s="33" t="str">
        <x:v>Not included in this affirmative shortlist. This is not a finding of non-genius.</x:v>
      </x:c>
      <x:c r="H682" s="29" t="str">
        <x:v>Literature roster</x:v>
      </x:c>
    </x:row>
    <x:row r="683" ht="36" customHeight="1">
      <x:c r="A683" s="29" t="str">
        <x:v>Literature</x:v>
      </x:c>
      <x:c r="B683" s="33" t="str">
        <x:v>Claude Simon</x:v>
      </x:c>
      <x:c r="C683" s="35" t="n">
        <x:v>1985</x:v>
      </x:c>
      <x:c r="D683" s="36" t="str">
        <x:v>1985</x:v>
      </x:c>
      <x:c r="E683" s="36" t="str">
        <x:v>Person</x:v>
      </x:c>
      <x:c r="F683" s="37" t="str">
        <x:v>Not established here</x:v>
      </x:c>
      <x:c r="G683" s="33" t="str">
        <x:v>Not included in this affirmative shortlist. This is not a finding of non-genius.</x:v>
      </x:c>
      <x:c r="H683" s="29" t="str">
        <x:v>Literature roster</x:v>
      </x:c>
    </x:row>
    <x:row r="684" ht="36" customHeight="1">
      <x:c r="A684" s="29" t="str">
        <x:v>Literature</x:v>
      </x:c>
      <x:c r="B684" s="33" t="str">
        <x:v>Wole Soyinka</x:v>
      </x:c>
      <x:c r="C684" s="35" t="n">
        <x:v>1986</x:v>
      </x:c>
      <x:c r="D684" s="36" t="str">
        <x:v>1986</x:v>
      </x:c>
      <x:c r="E684" s="36" t="str">
        <x:v>Person</x:v>
      </x:c>
      <x:c r="F684" s="37" t="str">
        <x:v>Not established here</x:v>
      </x:c>
      <x:c r="G684" s="33" t="str">
        <x:v>Not included in this affirmative shortlist. This is not a finding of non-genius.</x:v>
      </x:c>
      <x:c r="H684" s="29" t="str">
        <x:v>Literature roster</x:v>
      </x:c>
    </x:row>
    <x:row r="685" ht="36" customHeight="1">
      <x:c r="A685" s="29" t="str">
        <x:v>Literature</x:v>
      </x:c>
      <x:c r="B685" s="33" t="str">
        <x:v>Joseph Brodsky</x:v>
      </x:c>
      <x:c r="C685" s="35" t="n">
        <x:v>1987</x:v>
      </x:c>
      <x:c r="D685" s="36" t="str">
        <x:v>1987</x:v>
      </x:c>
      <x:c r="E685" s="36" t="str">
        <x:v>Person</x:v>
      </x:c>
      <x:c r="F685" s="37" t="str">
        <x:v>Borderline</x:v>
      </x:c>
      <x:c r="G685" s="33" t="str">
        <x:v>Strong case for exceptional originality, but I am less certain of equivalence to the user's very high benchmark.</x:v>
      </x:c>
      <x:c r="H685" s="29" t="str">
        <x:v>Literature roster</x:v>
      </x:c>
    </x:row>
    <x:row r="686" ht="36" customHeight="1">
      <x:c r="A686" s="29" t="str">
        <x:v>Literature</x:v>
      </x:c>
      <x:c r="B686" s="33" t="str">
        <x:v>Naguib Mahfouz</x:v>
      </x:c>
      <x:c r="C686" s="35" t="n">
        <x:v>1988</x:v>
      </x:c>
      <x:c r="D686" s="36" t="str">
        <x:v>1988</x:v>
      </x:c>
      <x:c r="E686" s="36" t="str">
        <x:v>Person</x:v>
      </x:c>
      <x:c r="F686" s="37" t="str">
        <x:v>Borderline</x:v>
      </x:c>
      <x:c r="G686" s="33" t="str">
        <x:v>Strong case for exceptional originality, but I am less certain of equivalence to the user's very high benchmark.</x:v>
      </x:c>
      <x:c r="H686" s="29" t="str">
        <x:v>Literature roster</x:v>
      </x:c>
    </x:row>
    <x:row r="687" ht="36" customHeight="1">
      <x:c r="A687" s="29" t="str">
        <x:v>Literature</x:v>
      </x:c>
      <x:c r="B687" s="33" t="str">
        <x:v>Camilo José Cela</x:v>
      </x:c>
      <x:c r="C687" s="35" t="n">
        <x:v>1989</x:v>
      </x:c>
      <x:c r="D687" s="36" t="str">
        <x:v>1989</x:v>
      </x:c>
      <x:c r="E687" s="36" t="str">
        <x:v>Person</x:v>
      </x:c>
      <x:c r="F687" s="37" t="str">
        <x:v>Not established here</x:v>
      </x:c>
      <x:c r="G687" s="33" t="str">
        <x:v>Not included in this affirmative shortlist. This is not a finding of non-genius.</x:v>
      </x:c>
      <x:c r="H687" s="29" t="str">
        <x:v>Literature roster</x:v>
      </x:c>
    </x:row>
    <x:row r="688" ht="36" customHeight="1">
      <x:c r="A688" s="29" t="str">
        <x:v>Literature</x:v>
      </x:c>
      <x:c r="B688" s="33" t="str">
        <x:v>Octavio Paz</x:v>
      </x:c>
      <x:c r="C688" s="35" t="n">
        <x:v>1990</x:v>
      </x:c>
      <x:c r="D688" s="36" t="str">
        <x:v>1990</x:v>
      </x:c>
      <x:c r="E688" s="36" t="str">
        <x:v>Person</x:v>
      </x:c>
      <x:c r="F688" s="37" t="str">
        <x:v>Borderline</x:v>
      </x:c>
      <x:c r="G688" s="33" t="str">
        <x:v>Strong case for exceptional originality, but I am less certain of equivalence to the user's very high benchmark.</x:v>
      </x:c>
      <x:c r="H688" s="29" t="str">
        <x:v>Literature roster</x:v>
      </x:c>
    </x:row>
    <x:row r="689" ht="36" customHeight="1">
      <x:c r="A689" s="29" t="str">
        <x:v>Literature</x:v>
      </x:c>
      <x:c r="B689" s="33" t="str">
        <x:v>Nadine Gordimer</x:v>
      </x:c>
      <x:c r="C689" s="35" t="n">
        <x:v>1991</x:v>
      </x:c>
      <x:c r="D689" s="36" t="str">
        <x:v>1991</x:v>
      </x:c>
      <x:c r="E689" s="36" t="str">
        <x:v>Person</x:v>
      </x:c>
      <x:c r="F689" s="37" t="str">
        <x:v>Not established here</x:v>
      </x:c>
      <x:c r="G689" s="33" t="str">
        <x:v>Not included in this affirmative shortlist. This is not a finding of non-genius.</x:v>
      </x:c>
      <x:c r="H689" s="29" t="str">
        <x:v>Literature roster</x:v>
      </x:c>
    </x:row>
    <x:row r="690" ht="36" customHeight="1">
      <x:c r="A690" s="29" t="str">
        <x:v>Literature</x:v>
      </x:c>
      <x:c r="B690" s="33" t="str">
        <x:v>Derek Walcott</x:v>
      </x:c>
      <x:c r="C690" s="35" t="n">
        <x:v>1992</x:v>
      </x:c>
      <x:c r="D690" s="36" t="str">
        <x:v>1992</x:v>
      </x:c>
      <x:c r="E690" s="36" t="str">
        <x:v>Person</x:v>
      </x:c>
      <x:c r="F690" s="37" t="str">
        <x:v>Not established here</x:v>
      </x:c>
      <x:c r="G690" s="33" t="str">
        <x:v>Not included in this affirmative shortlist. This is not a finding of non-genius.</x:v>
      </x:c>
      <x:c r="H690" s="29" t="str">
        <x:v>Literature roster</x:v>
      </x:c>
    </x:row>
    <x:row r="691" ht="36" customHeight="1">
      <x:c r="A691" s="29" t="str">
        <x:v>Literature</x:v>
      </x:c>
      <x:c r="B691" s="33" t="str">
        <x:v>Toni Morrison</x:v>
      </x:c>
      <x:c r="C691" s="35" t="n">
        <x:v>1993</x:v>
      </x:c>
      <x:c r="D691" s="36" t="str">
        <x:v>1993</x:v>
      </x:c>
      <x:c r="E691" s="36" t="str">
        <x:v>Person</x:v>
      </x:c>
      <x:c r="F691" s="37" t="str">
        <x:v>Clear</x:v>
      </x:c>
      <x:c r="G691" s="33" t="str">
        <x:v>Exceptional language, structure and novelistic imagination.</x:v>
      </x:c>
      <x:c r="H691" s="29" t="str">
        <x:v>Literature roster</x:v>
      </x:c>
    </x:row>
    <x:row r="692" ht="36" customHeight="1">
      <x:c r="A692" s="29" t="str">
        <x:v>Literature</x:v>
      </x:c>
      <x:c r="B692" s="33" t="str">
        <x:v>Kenzaburō Ōe</x:v>
      </x:c>
      <x:c r="C692" s="35" t="n">
        <x:v>1994</x:v>
      </x:c>
      <x:c r="D692" s="36" t="str">
        <x:v>1994</x:v>
      </x:c>
      <x:c r="E692" s="36" t="str">
        <x:v>Person</x:v>
      </x:c>
      <x:c r="F692" s="37" t="str">
        <x:v>Not established here</x:v>
      </x:c>
      <x:c r="G692" s="33" t="str">
        <x:v>Not included in this affirmative shortlist. This is not a finding of non-genius.</x:v>
      </x:c>
      <x:c r="H692" s="29" t="str">
        <x:v>Literature roster</x:v>
      </x:c>
    </x:row>
    <x:row r="693" ht="36" customHeight="1">
      <x:c r="A693" s="29" t="str">
        <x:v>Literature</x:v>
      </x:c>
      <x:c r="B693" s="33" t="str">
        <x:v>Seamus Heaney</x:v>
      </x:c>
      <x:c r="C693" s="35" t="n">
        <x:v>1995</x:v>
      </x:c>
      <x:c r="D693" s="36" t="str">
        <x:v>1995</x:v>
      </x:c>
      <x:c r="E693" s="36" t="str">
        <x:v>Person</x:v>
      </x:c>
      <x:c r="F693" s="37" t="str">
        <x:v>Borderline</x:v>
      </x:c>
      <x:c r="G693" s="33" t="str">
        <x:v>Strong case for exceptional originality, but I am less certain of equivalence to the user's very high benchmark.</x:v>
      </x:c>
      <x:c r="H693" s="29" t="str">
        <x:v>Literature roster</x:v>
      </x:c>
    </x:row>
    <x:row r="694" ht="36" customHeight="1">
      <x:c r="A694" s="29" t="str">
        <x:v>Literature</x:v>
      </x:c>
      <x:c r="B694" s="33" t="str">
        <x:v>Wisława Szymborska</x:v>
      </x:c>
      <x:c r="C694" s="35" t="n">
        <x:v>1996</x:v>
      </x:c>
      <x:c r="D694" s="36" t="str">
        <x:v>1996</x:v>
      </x:c>
      <x:c r="E694" s="36" t="str">
        <x:v>Person</x:v>
      </x:c>
      <x:c r="F694" s="37" t="str">
        <x:v>Borderline</x:v>
      </x:c>
      <x:c r="G694" s="33" t="str">
        <x:v>Strong case for exceptional originality, but I am less certain of equivalence to the user's very high benchmark.</x:v>
      </x:c>
      <x:c r="H694" s="29" t="str">
        <x:v>Literature roster</x:v>
      </x:c>
    </x:row>
    <x:row r="695" ht="36" customHeight="1">
      <x:c r="A695" s="29" t="str">
        <x:v>Literature</x:v>
      </x:c>
      <x:c r="B695" s="33" t="str">
        <x:v>Dario Fo</x:v>
      </x:c>
      <x:c r="C695" s="35" t="n">
        <x:v>1997</x:v>
      </x:c>
      <x:c r="D695" s="36" t="str">
        <x:v>1997</x:v>
      </x:c>
      <x:c r="E695" s="36" t="str">
        <x:v>Person</x:v>
      </x:c>
      <x:c r="F695" s="37" t="str">
        <x:v>Not established here</x:v>
      </x:c>
      <x:c r="G695" s="33" t="str">
        <x:v>Not included in this affirmative shortlist. This is not a finding of non-genius.</x:v>
      </x:c>
      <x:c r="H695" s="29" t="str">
        <x:v>Literature roster</x:v>
      </x:c>
    </x:row>
    <x:row r="696" ht="36" customHeight="1">
      <x:c r="A696" s="29" t="str">
        <x:v>Literature</x:v>
      </x:c>
      <x:c r="B696" s="33" t="str">
        <x:v>José Saramago</x:v>
      </x:c>
      <x:c r="C696" s="35" t="n">
        <x:v>1998</x:v>
      </x:c>
      <x:c r="D696" s="36" t="str">
        <x:v>1998</x:v>
      </x:c>
      <x:c r="E696" s="36" t="str">
        <x:v>Person</x:v>
      </x:c>
      <x:c r="F696" s="37" t="str">
        <x:v>Borderline</x:v>
      </x:c>
      <x:c r="G696" s="33" t="str">
        <x:v>Strong case for exceptional originality, but I am less certain of equivalence to the user's very high benchmark.</x:v>
      </x:c>
      <x:c r="H696" s="29" t="str">
        <x:v>Literature roster</x:v>
      </x:c>
    </x:row>
    <x:row r="697" ht="36" customHeight="1">
      <x:c r="A697" s="29" t="str">
        <x:v>Literature</x:v>
      </x:c>
      <x:c r="B697" s="33" t="str">
        <x:v>Günter Grass</x:v>
      </x:c>
      <x:c r="C697" s="35" t="n">
        <x:v>1999</x:v>
      </x:c>
      <x:c r="D697" s="36" t="str">
        <x:v>1999</x:v>
      </x:c>
      <x:c r="E697" s="36" t="str">
        <x:v>Person</x:v>
      </x:c>
      <x:c r="F697" s="37" t="str">
        <x:v>Borderline</x:v>
      </x:c>
      <x:c r="G697" s="33" t="str">
        <x:v>Strong case for exceptional originality, but I am less certain of equivalence to the user's very high benchmark.</x:v>
      </x:c>
      <x:c r="H697" s="29" t="str">
        <x:v>Literature roster</x:v>
      </x:c>
    </x:row>
    <x:row r="698" ht="36" customHeight="1">
      <x:c r="A698" s="29" t="str">
        <x:v>Literature</x:v>
      </x:c>
      <x:c r="B698" s="33" t="str">
        <x:v>Gao Xingjian</x:v>
      </x:c>
      <x:c r="C698" s="35" t="n">
        <x:v>2000</x:v>
      </x:c>
      <x:c r="D698" s="36" t="str">
        <x:v>2000</x:v>
      </x:c>
      <x:c r="E698" s="36" t="str">
        <x:v>Person</x:v>
      </x:c>
      <x:c r="F698" s="37" t="str">
        <x:v>Not established here</x:v>
      </x:c>
      <x:c r="G698" s="33" t="str">
        <x:v>Not included in this affirmative shortlist. This is not a finding of non-genius.</x:v>
      </x:c>
      <x:c r="H698" s="29" t="str">
        <x:v>Literature roster</x:v>
      </x:c>
    </x:row>
    <x:row r="699" ht="36" customHeight="1">
      <x:c r="A699" s="29" t="str">
        <x:v>Literature</x:v>
      </x:c>
      <x:c r="B699" s="33" t="str">
        <x:v>V. S. Naipaul</x:v>
      </x:c>
      <x:c r="C699" s="35" t="n">
        <x:v>2001</x:v>
      </x:c>
      <x:c r="D699" s="36" t="str">
        <x:v>2001</x:v>
      </x:c>
      <x:c r="E699" s="36" t="str">
        <x:v>Person</x:v>
      </x:c>
      <x:c r="F699" s="37" t="str">
        <x:v>Borderline</x:v>
      </x:c>
      <x:c r="G699" s="33" t="str">
        <x:v>Strong case for exceptional originality, but I am less certain of equivalence to the user's very high benchmark.</x:v>
      </x:c>
      <x:c r="H699" s="29" t="str">
        <x:v>Literature roster</x:v>
      </x:c>
    </x:row>
    <x:row r="700" ht="36" customHeight="1">
      <x:c r="A700" s="29" t="str">
        <x:v>Literature</x:v>
      </x:c>
      <x:c r="B700" s="33" t="str">
        <x:v>Imre Kertész</x:v>
      </x:c>
      <x:c r="C700" s="35" t="n">
        <x:v>2002</x:v>
      </x:c>
      <x:c r="D700" s="36" t="str">
        <x:v>2002</x:v>
      </x:c>
      <x:c r="E700" s="36" t="str">
        <x:v>Person</x:v>
      </x:c>
      <x:c r="F700" s="37" t="str">
        <x:v>Not established here</x:v>
      </x:c>
      <x:c r="G700" s="33" t="str">
        <x:v>Not included in this affirmative shortlist. This is not a finding of non-genius.</x:v>
      </x:c>
      <x:c r="H700" s="29" t="str">
        <x:v>Literature roster</x:v>
      </x:c>
    </x:row>
    <x:row r="701" ht="36" customHeight="1">
      <x:c r="A701" s="29" t="str">
        <x:v>Literature</x:v>
      </x:c>
      <x:c r="B701" s="33" t="str">
        <x:v>J. M. Coetzee</x:v>
      </x:c>
      <x:c r="C701" s="35" t="n">
        <x:v>2003</x:v>
      </x:c>
      <x:c r="D701" s="36" t="str">
        <x:v>2003</x:v>
      </x:c>
      <x:c r="E701" s="36" t="str">
        <x:v>Person</x:v>
      </x:c>
      <x:c r="F701" s="37" t="str">
        <x:v>Borderline</x:v>
      </x:c>
      <x:c r="G701" s="33" t="str">
        <x:v>Strong case for exceptional originality, but I am less certain of equivalence to the user's very high benchmark.</x:v>
      </x:c>
      <x:c r="H701" s="29" t="str">
        <x:v>Literature roster</x:v>
      </x:c>
    </x:row>
    <x:row r="702" ht="36" customHeight="1">
      <x:c r="A702" s="29" t="str">
        <x:v>Literature</x:v>
      </x:c>
      <x:c r="B702" s="33" t="str">
        <x:v>Elfriede Jelinek</x:v>
      </x:c>
      <x:c r="C702" s="35" t="n">
        <x:v>2004</x:v>
      </x:c>
      <x:c r="D702" s="36" t="str">
        <x:v>2004</x:v>
      </x:c>
      <x:c r="E702" s="36" t="str">
        <x:v>Person</x:v>
      </x:c>
      <x:c r="F702" s="37" t="str">
        <x:v>Not established here</x:v>
      </x:c>
      <x:c r="G702" s="33" t="str">
        <x:v>Not included in this affirmative shortlist. This is not a finding of non-genius.</x:v>
      </x:c>
      <x:c r="H702" s="29" t="str">
        <x:v>Literature roster</x:v>
      </x:c>
    </x:row>
    <x:row r="703" ht="36" customHeight="1">
      <x:c r="A703" s="29" t="str">
        <x:v>Literature</x:v>
      </x:c>
      <x:c r="B703" s="33" t="str">
        <x:v>Harold Pinter</x:v>
      </x:c>
      <x:c r="C703" s="35" t="n">
        <x:v>2005</x:v>
      </x:c>
      <x:c r="D703" s="36" t="str">
        <x:v>2005</x:v>
      </x:c>
      <x:c r="E703" s="36" t="str">
        <x:v>Person</x:v>
      </x:c>
      <x:c r="F703" s="37" t="str">
        <x:v>Borderline</x:v>
      </x:c>
      <x:c r="G703" s="33" t="str">
        <x:v>Strong case for exceptional originality, but I am less certain of equivalence to the user's very high benchmark.</x:v>
      </x:c>
      <x:c r="H703" s="29" t="str">
        <x:v>Literature roster</x:v>
      </x:c>
    </x:row>
    <x:row r="704" ht="36" customHeight="1">
      <x:c r="A704" s="29" t="str">
        <x:v>Literature</x:v>
      </x:c>
      <x:c r="B704" s="33" t="str">
        <x:v>Orhan Pamuk</x:v>
      </x:c>
      <x:c r="C704" s="35" t="n">
        <x:v>2006</x:v>
      </x:c>
      <x:c r="D704" s="36" t="str">
        <x:v>2006</x:v>
      </x:c>
      <x:c r="E704" s="36" t="str">
        <x:v>Person</x:v>
      </x:c>
      <x:c r="F704" s="37" t="str">
        <x:v>Not established here</x:v>
      </x:c>
      <x:c r="G704" s="33" t="str">
        <x:v>Not included in this affirmative shortlist. This is not a finding of non-genius.</x:v>
      </x:c>
      <x:c r="H704" s="29" t="str">
        <x:v>Literature roster</x:v>
      </x:c>
    </x:row>
    <x:row r="705" ht="36" customHeight="1">
      <x:c r="A705" s="29" t="str">
        <x:v>Literature</x:v>
      </x:c>
      <x:c r="B705" s="33" t="str">
        <x:v>Doris Lessing</x:v>
      </x:c>
      <x:c r="C705" s="35" t="n">
        <x:v>2007</x:v>
      </x:c>
      <x:c r="D705" s="36" t="str">
        <x:v>2007</x:v>
      </x:c>
      <x:c r="E705" s="36" t="str">
        <x:v>Person</x:v>
      </x:c>
      <x:c r="F705" s="37" t="str">
        <x:v>Not established here</x:v>
      </x:c>
      <x:c r="G705" s="33" t="str">
        <x:v>Not included in this affirmative shortlist. This is not a finding of non-genius.</x:v>
      </x:c>
      <x:c r="H705" s="29" t="str">
        <x:v>Literature roster</x:v>
      </x:c>
    </x:row>
    <x:row r="706" ht="36" customHeight="1">
      <x:c r="A706" s="29" t="str">
        <x:v>Literature</x:v>
      </x:c>
      <x:c r="B706" s="33" t="str">
        <x:v>J. M. G. Le Clézio</x:v>
      </x:c>
      <x:c r="C706" s="35" t="n">
        <x:v>2008</x:v>
      </x:c>
      <x:c r="D706" s="36" t="str">
        <x:v>2008</x:v>
      </x:c>
      <x:c r="E706" s="36" t="str">
        <x:v>Person</x:v>
      </x:c>
      <x:c r="F706" s="37" t="str">
        <x:v>Not established here</x:v>
      </x:c>
      <x:c r="G706" s="33" t="str">
        <x:v>Not included in this affirmative shortlist. This is not a finding of non-genius.</x:v>
      </x:c>
      <x:c r="H706" s="29" t="str">
        <x:v>Literature roster</x:v>
      </x:c>
    </x:row>
    <x:row r="707" ht="36" customHeight="1">
      <x:c r="A707" s="29" t="str">
        <x:v>Literature</x:v>
      </x:c>
      <x:c r="B707" s="33" t="str">
        <x:v>Herta Müller</x:v>
      </x:c>
      <x:c r="C707" s="35" t="n">
        <x:v>2009</x:v>
      </x:c>
      <x:c r="D707" s="36" t="str">
        <x:v>2009</x:v>
      </x:c>
      <x:c r="E707" s="36" t="str">
        <x:v>Person</x:v>
      </x:c>
      <x:c r="F707" s="37" t="str">
        <x:v>Not established here</x:v>
      </x:c>
      <x:c r="G707" s="33" t="str">
        <x:v>Not included in this affirmative shortlist. This is not a finding of non-genius.</x:v>
      </x:c>
      <x:c r="H707" s="29" t="str">
        <x:v>Literature roster</x:v>
      </x:c>
    </x:row>
    <x:row r="708" ht="36" customHeight="1">
      <x:c r="A708" s="29" t="str">
        <x:v>Literature</x:v>
      </x:c>
      <x:c r="B708" s="33" t="str">
        <x:v>Mario Vargas Llosa</x:v>
      </x:c>
      <x:c r="C708" s="35" t="n">
        <x:v>2010</x:v>
      </x:c>
      <x:c r="D708" s="36" t="str">
        <x:v>2010</x:v>
      </x:c>
      <x:c r="E708" s="36" t="str">
        <x:v>Person</x:v>
      </x:c>
      <x:c r="F708" s="37" t="str">
        <x:v>Not established here</x:v>
      </x:c>
      <x:c r="G708" s="33" t="str">
        <x:v>Not included in this affirmative shortlist. This is not a finding of non-genius.</x:v>
      </x:c>
      <x:c r="H708" s="29" t="str">
        <x:v>Literature roster</x:v>
      </x:c>
    </x:row>
    <x:row r="709" ht="36" customHeight="1">
      <x:c r="A709" s="29" t="str">
        <x:v>Literature</x:v>
      </x:c>
      <x:c r="B709" s="33" t="str">
        <x:v>Tomas Tranströmer</x:v>
      </x:c>
      <x:c r="C709" s="35" t="n">
        <x:v>2011</x:v>
      </x:c>
      <x:c r="D709" s="36" t="str">
        <x:v>2011</x:v>
      </x:c>
      <x:c r="E709" s="36" t="str">
        <x:v>Person</x:v>
      </x:c>
      <x:c r="F709" s="37" t="str">
        <x:v>Not established here</x:v>
      </x:c>
      <x:c r="G709" s="33" t="str">
        <x:v>Not included in this affirmative shortlist. This is not a finding of non-genius.</x:v>
      </x:c>
      <x:c r="H709" s="29" t="str">
        <x:v>Literature roster</x:v>
      </x:c>
    </x:row>
    <x:row r="710" ht="36" customHeight="1">
      <x:c r="A710" s="29" t="str">
        <x:v>Literature</x:v>
      </x:c>
      <x:c r="B710" s="33" t="str">
        <x:v>Mo Yan</x:v>
      </x:c>
      <x:c r="C710" s="35" t="n">
        <x:v>2012</x:v>
      </x:c>
      <x:c r="D710" s="36" t="str">
        <x:v>2012</x:v>
      </x:c>
      <x:c r="E710" s="36" t="str">
        <x:v>Person</x:v>
      </x:c>
      <x:c r="F710" s="37" t="str">
        <x:v>Not established here</x:v>
      </x:c>
      <x:c r="G710" s="33" t="str">
        <x:v>Not included in this affirmative shortlist. This is not a finding of non-genius.</x:v>
      </x:c>
      <x:c r="H710" s="29" t="str">
        <x:v>Literature roster</x:v>
      </x:c>
    </x:row>
    <x:row r="711" ht="36" customHeight="1">
      <x:c r="A711" s="29" t="str">
        <x:v>Literature</x:v>
      </x:c>
      <x:c r="B711" s="33" t="str">
        <x:v>Alice Munro</x:v>
      </x:c>
      <x:c r="C711" s="35" t="n">
        <x:v>2013</x:v>
      </x:c>
      <x:c r="D711" s="36" t="str">
        <x:v>2013</x:v>
      </x:c>
      <x:c r="E711" s="36" t="str">
        <x:v>Person</x:v>
      </x:c>
      <x:c r="F711" s="37" t="str">
        <x:v>Borderline</x:v>
      </x:c>
      <x:c r="G711" s="33" t="str">
        <x:v>Strong case for exceptional originality, but I am less certain of equivalence to the user's very high benchmark.</x:v>
      </x:c>
      <x:c r="H711" s="29" t="str">
        <x:v>Literature roster</x:v>
      </x:c>
    </x:row>
    <x:row r="712" ht="36" customHeight="1">
      <x:c r="A712" s="29" t="str">
        <x:v>Literature</x:v>
      </x:c>
      <x:c r="B712" s="33" t="str">
        <x:v>Patrick Modiano</x:v>
      </x:c>
      <x:c r="C712" s="35" t="n">
        <x:v>2014</x:v>
      </x:c>
      <x:c r="D712" s="36" t="str">
        <x:v>2014</x:v>
      </x:c>
      <x:c r="E712" s="36" t="str">
        <x:v>Person</x:v>
      </x:c>
      <x:c r="F712" s="37" t="str">
        <x:v>Not established here</x:v>
      </x:c>
      <x:c r="G712" s="33" t="str">
        <x:v>Not included in this affirmative shortlist. This is not a finding of non-genius.</x:v>
      </x:c>
      <x:c r="H712" s="29" t="str">
        <x:v>Literature roster</x:v>
      </x:c>
    </x:row>
    <x:row r="713" ht="36" customHeight="1">
      <x:c r="A713" s="29" t="str">
        <x:v>Literature</x:v>
      </x:c>
      <x:c r="B713" s="33" t="str">
        <x:v>Svetlana Alexievich</x:v>
      </x:c>
      <x:c r="C713" s="35" t="n">
        <x:v>2015</x:v>
      </x:c>
      <x:c r="D713" s="36" t="str">
        <x:v>2015</x:v>
      </x:c>
      <x:c r="E713" s="36" t="str">
        <x:v>Person</x:v>
      </x:c>
      <x:c r="F713" s="37" t="str">
        <x:v>Not established here</x:v>
      </x:c>
      <x:c r="G713" s="33" t="str">
        <x:v>Not included in this affirmative shortlist. This is not a finding of non-genius.</x:v>
      </x:c>
      <x:c r="H713" s="29" t="str">
        <x:v>Literature roster</x:v>
      </x:c>
    </x:row>
    <x:row r="714" ht="36" customHeight="1">
      <x:c r="A714" s="29" t="str">
        <x:v>Literature</x:v>
      </x:c>
      <x:c r="B714" s="33" t="str">
        <x:v>Bob Dylan</x:v>
      </x:c>
      <x:c r="C714" s="35" t="n">
        <x:v>2016</x:v>
      </x:c>
      <x:c r="D714" s="36" t="str">
        <x:v>2016</x:v>
      </x:c>
      <x:c r="E714" s="36" t="str">
        <x:v>Person</x:v>
      </x:c>
      <x:c r="F714" s="37" t="str">
        <x:v>Clear</x:v>
      </x:c>
      <x:c r="G714" s="33" t="str">
        <x:v>Transformative songwriting and poetic invention.</x:v>
      </x:c>
      <x:c r="H714" s="29" t="str">
        <x:v>Literature roster</x:v>
      </x:c>
    </x:row>
    <x:row r="715" ht="36" customHeight="1">
      <x:c r="A715" s="29" t="str">
        <x:v>Literature</x:v>
      </x:c>
      <x:c r="B715" s="33" t="str">
        <x:v>Kazuo Ishiguro</x:v>
      </x:c>
      <x:c r="C715" s="35" t="n">
        <x:v>2017</x:v>
      </x:c>
      <x:c r="D715" s="36" t="str">
        <x:v>2017</x:v>
      </x:c>
      <x:c r="E715" s="36" t="str">
        <x:v>Person</x:v>
      </x:c>
      <x:c r="F715" s="37" t="str">
        <x:v>Not established here</x:v>
      </x:c>
      <x:c r="G715" s="33" t="str">
        <x:v>Not included in this affirmative shortlist. This is not a finding of non-genius.</x:v>
      </x:c>
      <x:c r="H715" s="29" t="str">
        <x:v>Literature roster</x:v>
      </x:c>
    </x:row>
    <x:row r="716" ht="36" customHeight="1">
      <x:c r="A716" s="29" t="str">
        <x:v>Literature</x:v>
      </x:c>
      <x:c r="B716" s="33" t="str">
        <x:v>Olga Tokarczuk</x:v>
      </x:c>
      <x:c r="C716" s="35" t="n">
        <x:v>2018</x:v>
      </x:c>
      <x:c r="D716" s="36" t="str">
        <x:v>2018</x:v>
      </x:c>
      <x:c r="E716" s="36" t="str">
        <x:v>Person</x:v>
      </x:c>
      <x:c r="F716" s="37" t="str">
        <x:v>Borderline</x:v>
      </x:c>
      <x:c r="G716" s="33" t="str">
        <x:v>Strong case for exceptional originality, but I am less certain of equivalence to the user's very high benchmark.</x:v>
      </x:c>
      <x:c r="H716" s="29" t="str">
        <x:v>Literature roster</x:v>
      </x:c>
    </x:row>
    <x:row r="717" ht="36" customHeight="1">
      <x:c r="A717" s="29" t="str">
        <x:v>Literature</x:v>
      </x:c>
      <x:c r="B717" s="33" t="str">
        <x:v>Peter Handke</x:v>
      </x:c>
      <x:c r="C717" s="35" t="n">
        <x:v>2019</x:v>
      </x:c>
      <x:c r="D717" s="36" t="str">
        <x:v>2019</x:v>
      </x:c>
      <x:c r="E717" s="36" t="str">
        <x:v>Person</x:v>
      </x:c>
      <x:c r="F717" s="37" t="str">
        <x:v>Not established here</x:v>
      </x:c>
      <x:c r="G717" s="33" t="str">
        <x:v>Not included in this affirmative shortlist. This is not a finding of non-genius.</x:v>
      </x:c>
      <x:c r="H717" s="29" t="str">
        <x:v>Literature roster</x:v>
      </x:c>
    </x:row>
    <x:row r="718" ht="36" customHeight="1">
      <x:c r="A718" s="29" t="str">
        <x:v>Literature</x:v>
      </x:c>
      <x:c r="B718" s="33" t="str">
        <x:v>Louise Glück</x:v>
      </x:c>
      <x:c r="C718" s="35" t="n">
        <x:v>2020</x:v>
      </x:c>
      <x:c r="D718" s="36" t="str">
        <x:v>2020</x:v>
      </x:c>
      <x:c r="E718" s="36" t="str">
        <x:v>Person</x:v>
      </x:c>
      <x:c r="F718" s="37" t="str">
        <x:v>Not established here</x:v>
      </x:c>
      <x:c r="G718" s="33" t="str">
        <x:v>Not included in this affirmative shortlist. This is not a finding of non-genius.</x:v>
      </x:c>
      <x:c r="H718" s="29" t="str">
        <x:v>Literature roster</x:v>
      </x:c>
    </x:row>
    <x:row r="719" ht="36" customHeight="1">
      <x:c r="A719" s="29" t="str">
        <x:v>Literature</x:v>
      </x:c>
      <x:c r="B719" s="33" t="str">
        <x:v>Abdulrazak Gurnah</x:v>
      </x:c>
      <x:c r="C719" s="35" t="n">
        <x:v>2021</x:v>
      </x:c>
      <x:c r="D719" s="36" t="str">
        <x:v>2021</x:v>
      </x:c>
      <x:c r="E719" s="36" t="str">
        <x:v>Person</x:v>
      </x:c>
      <x:c r="F719" s="37" t="str">
        <x:v>Not established here</x:v>
      </x:c>
      <x:c r="G719" s="33" t="str">
        <x:v>Not included in this affirmative shortlist. This is not a finding of non-genius.</x:v>
      </x:c>
      <x:c r="H719" s="29" t="str">
        <x:v>Literature roster</x:v>
      </x:c>
    </x:row>
    <x:row r="720" ht="36" customHeight="1">
      <x:c r="A720" s="29" t="str">
        <x:v>Literature</x:v>
      </x:c>
      <x:c r="B720" s="33" t="str">
        <x:v>Annie Ernaux</x:v>
      </x:c>
      <x:c r="C720" s="35" t="n">
        <x:v>2022</x:v>
      </x:c>
      <x:c r="D720" s="36" t="str">
        <x:v>2022</x:v>
      </x:c>
      <x:c r="E720" s="36" t="str">
        <x:v>Person</x:v>
      </x:c>
      <x:c r="F720" s="37" t="str">
        <x:v>Not established here</x:v>
      </x:c>
      <x:c r="G720" s="33" t="str">
        <x:v>Not included in this affirmative shortlist. This is not a finding of non-genius.</x:v>
      </x:c>
      <x:c r="H720" s="29" t="str">
        <x:v>Literature roster</x:v>
      </x:c>
    </x:row>
    <x:row r="721" ht="36" customHeight="1">
      <x:c r="A721" s="29" t="str">
        <x:v>Literature</x:v>
      </x:c>
      <x:c r="B721" s="33" t="str">
        <x:v>Jon Fosse</x:v>
      </x:c>
      <x:c r="C721" s="35" t="n">
        <x:v>2023</x:v>
      </x:c>
      <x:c r="D721" s="36" t="str">
        <x:v>2023</x:v>
      </x:c>
      <x:c r="E721" s="36" t="str">
        <x:v>Person</x:v>
      </x:c>
      <x:c r="F721" s="37" t="str">
        <x:v>Not established here</x:v>
      </x:c>
      <x:c r="G721" s="33" t="str">
        <x:v>Not included in this affirmative shortlist. This is not a finding of non-genius.</x:v>
      </x:c>
      <x:c r="H721" s="29" t="str">
        <x:v>Literature roster</x:v>
      </x:c>
    </x:row>
    <x:row r="722" ht="36" customHeight="1">
      <x:c r="A722" s="29" t="str">
        <x:v>Literature</x:v>
      </x:c>
      <x:c r="B722" s="33" t="str">
        <x:v>Han Kang</x:v>
      </x:c>
      <x:c r="C722" s="35" t="n">
        <x:v>2024</x:v>
      </x:c>
      <x:c r="D722" s="36" t="str">
        <x:v>2024</x:v>
      </x:c>
      <x:c r="E722" s="36" t="str">
        <x:v>Person</x:v>
      </x:c>
      <x:c r="F722" s="37" t="str">
        <x:v>Not established here</x:v>
      </x:c>
      <x:c r="G722" s="33" t="str">
        <x:v>Not included in this affirmative shortlist. This is not a finding of non-genius.</x:v>
      </x:c>
      <x:c r="H722" s="29" t="str">
        <x:v>Literature roster</x:v>
      </x:c>
    </x:row>
    <x:row r="723" ht="36" customHeight="1">
      <x:c r="A723" s="29" t="str">
        <x:v>Literature</x:v>
      </x:c>
      <x:c r="B723" s="33" t="str">
        <x:v>László Krasznahorkai</x:v>
      </x:c>
      <x:c r="C723" s="35" t="n">
        <x:v>2025</x:v>
      </x:c>
      <x:c r="D723" s="36" t="str">
        <x:v>2025</x:v>
      </x:c>
      <x:c r="E723" s="36" t="str">
        <x:v>Person</x:v>
      </x:c>
      <x:c r="F723" s="37" t="str">
        <x:v>Borderline</x:v>
      </x:c>
      <x:c r="G723" s="33" t="str">
        <x:v>Strong case for exceptional originality, but I am less certain of equivalence to the user's very high benchmark.</x:v>
      </x:c>
      <x:c r="H723" s="29" t="str">
        <x:v>Literature roster</x:v>
      </x:c>
    </x:row>
    <x:row r="724" ht="36" customHeight="1">
      <x:c r="A724" s="29" t="str">
        <x:v>Economics</x:v>
      </x:c>
      <x:c r="B724" s="33" t="str">
        <x:v>Jan Tinbergen</x:v>
      </x:c>
      <x:c r="C724" s="35" t="n">
        <x:v>1969</x:v>
      </x:c>
      <x:c r="D724" s="36" t="str">
        <x:v>1969</x:v>
      </x:c>
      <x:c r="E724" s="36" t="str">
        <x:v>Person</x:v>
      </x:c>
      <x:c r="F724" s="37" t="str">
        <x:v>Borderline</x:v>
      </x:c>
      <x:c r="G724" s="33" t="str">
        <x:v>Strong case for exceptional originality, but I am less certain of equivalence to the user's very high benchmark.</x:v>
      </x:c>
      <x:c r="H724" s="29" t="str">
        <x:v>Economics roster</x:v>
      </x:c>
    </x:row>
    <x:row r="725" ht="36" customHeight="1">
      <x:c r="A725" s="29" t="str">
        <x:v>Economics</x:v>
      </x:c>
      <x:c r="B725" s="33" t="str">
        <x:v>Ragnar Frisch</x:v>
      </x:c>
      <x:c r="C725" s="35" t="n">
        <x:v>1969</x:v>
      </x:c>
      <x:c r="D725" s="36" t="str">
        <x:v>1969</x:v>
      </x:c>
      <x:c r="E725" s="36" t="str">
        <x:v>Person</x:v>
      </x:c>
      <x:c r="F725" s="37" t="str">
        <x:v>Not established here</x:v>
      </x:c>
      <x:c r="G725" s="33" t="str">
        <x:v>Not included in this affirmative shortlist. This is not a finding of non-genius.</x:v>
      </x:c>
      <x:c r="H725" s="29" t="str">
        <x:v>Economics roster</x:v>
      </x:c>
    </x:row>
    <x:row r="726" ht="36" customHeight="1">
      <x:c r="A726" s="29" t="str">
        <x:v>Economics</x:v>
      </x:c>
      <x:c r="B726" s="33" t="str">
        <x:v>Paul Samuelson</x:v>
      </x:c>
      <x:c r="C726" s="35" t="n">
        <x:v>1970</x:v>
      </x:c>
      <x:c r="D726" s="36" t="str">
        <x:v>1970</x:v>
      </x:c>
      <x:c r="E726" s="36" t="str">
        <x:v>Person</x:v>
      </x:c>
      <x:c r="F726" s="37" t="str">
        <x:v>Clear</x:v>
      </x:c>
      <x:c r="G726" s="33" t="str">
        <x:v>Broad original reconstruction of mathematical economics.</x:v>
      </x:c>
      <x:c r="H726" s="29" t="str">
        <x:v>Economics roster</x:v>
      </x:c>
    </x:row>
    <x:row r="727" ht="36" customHeight="1">
      <x:c r="A727" s="29" t="str">
        <x:v>Economics</x:v>
      </x:c>
      <x:c r="B727" s="33" t="str">
        <x:v>Simon Kuznets</x:v>
      </x:c>
      <x:c r="C727" s="35" t="n">
        <x:v>1971</x:v>
      </x:c>
      <x:c r="D727" s="36" t="str">
        <x:v>1971</x:v>
      </x:c>
      <x:c r="E727" s="36" t="str">
        <x:v>Person</x:v>
      </x:c>
      <x:c r="F727" s="37" t="str">
        <x:v>Not established here</x:v>
      </x:c>
      <x:c r="G727" s="33" t="str">
        <x:v>Not included in this affirmative shortlist. This is not a finding of non-genius.</x:v>
      </x:c>
      <x:c r="H727" s="29" t="str">
        <x:v>Economics roster</x:v>
      </x:c>
    </x:row>
    <x:row r="728" ht="36" customHeight="1">
      <x:c r="A728" s="29" t="str">
        <x:v>Economics</x:v>
      </x:c>
      <x:c r="B728" s="33" t="str">
        <x:v>John Hicks</x:v>
      </x:c>
      <x:c r="C728" s="35" t="n">
        <x:v>1972</x:v>
      </x:c>
      <x:c r="D728" s="36" t="str">
        <x:v>1972</x:v>
      </x:c>
      <x:c r="E728" s="36" t="str">
        <x:v>Person</x:v>
      </x:c>
      <x:c r="F728" s="37" t="str">
        <x:v>Not established here</x:v>
      </x:c>
      <x:c r="G728" s="33" t="str">
        <x:v>Not included in this affirmative shortlist. This is not a finding of non-genius.</x:v>
      </x:c>
      <x:c r="H728" s="29" t="str">
        <x:v>Economics roster</x:v>
      </x:c>
    </x:row>
    <x:row r="729" ht="36" customHeight="1">
      <x:c r="A729" s="29" t="str">
        <x:v>Economics</x:v>
      </x:c>
      <x:c r="B729" s="33" t="str">
        <x:v>Kenneth Arrow</x:v>
      </x:c>
      <x:c r="C729" s="35" t="n">
        <x:v>1972</x:v>
      </x:c>
      <x:c r="D729" s="36" t="str">
        <x:v>1972</x:v>
      </x:c>
      <x:c r="E729" s="36" t="str">
        <x:v>Person</x:v>
      </x:c>
      <x:c r="F729" s="37" t="str">
        <x:v>Clear</x:v>
      </x:c>
      <x:c r="G729" s="33" t="str">
        <x:v>Social choice, general equilibrium and numerous independent conceptual advances.</x:v>
      </x:c>
      <x:c r="H729" s="29" t="str">
        <x:v>Economics roster</x:v>
      </x:c>
    </x:row>
    <x:row r="730" ht="36" customHeight="1">
      <x:c r="A730" s="29" t="str">
        <x:v>Economics</x:v>
      </x:c>
      <x:c r="B730" s="33" t="str">
        <x:v>Wassily Leontief</x:v>
      </x:c>
      <x:c r="C730" s="35" t="n">
        <x:v>1973</x:v>
      </x:c>
      <x:c r="D730" s="36" t="str">
        <x:v>1973</x:v>
      </x:c>
      <x:c r="E730" s="36" t="str">
        <x:v>Person</x:v>
      </x:c>
      <x:c r="F730" s="37" t="str">
        <x:v>Borderline</x:v>
      </x:c>
      <x:c r="G730" s="33" t="str">
        <x:v>Strong case for exceptional originality, but I am less certain of equivalence to the user's very high benchmark.</x:v>
      </x:c>
      <x:c r="H730" s="29" t="str">
        <x:v>Economics roster</x:v>
      </x:c>
    </x:row>
    <x:row r="731" ht="36" customHeight="1">
      <x:c r="A731" s="29" t="str">
        <x:v>Economics</x:v>
      </x:c>
      <x:c r="B731" s="33" t="str">
        <x:v>Friedrich Hayek</x:v>
      </x:c>
      <x:c r="C731" s="35" t="n">
        <x:v>1974</x:v>
      </x:c>
      <x:c r="D731" s="36" t="str">
        <x:v>1974</x:v>
      </x:c>
      <x:c r="E731" s="36" t="str">
        <x:v>Person</x:v>
      </x:c>
      <x:c r="F731" s="37" t="str">
        <x:v>Borderline</x:v>
      </x:c>
      <x:c r="G731" s="33" t="str">
        <x:v>Strong case for exceptional originality, but I am less certain of equivalence to the user's very high benchmark.</x:v>
      </x:c>
      <x:c r="H731" s="29" t="str">
        <x:v>Economics roster</x:v>
      </x:c>
    </x:row>
    <x:row r="732" ht="36" customHeight="1">
      <x:c r="A732" s="29" t="str">
        <x:v>Economics</x:v>
      </x:c>
      <x:c r="B732" s="33" t="str">
        <x:v>Gunnar Myrdal</x:v>
      </x:c>
      <x:c r="C732" s="35" t="n">
        <x:v>1974</x:v>
      </x:c>
      <x:c r="D732" s="36" t="str">
        <x:v>1974</x:v>
      </x:c>
      <x:c r="E732" s="36" t="str">
        <x:v>Person</x:v>
      </x:c>
      <x:c r="F732" s="37" t="str">
        <x:v>Not established here</x:v>
      </x:c>
      <x:c r="G732" s="33" t="str">
        <x:v>Not included in this affirmative shortlist. This is not a finding of non-genius.</x:v>
      </x:c>
      <x:c r="H732" s="29" t="str">
        <x:v>Economics roster</x:v>
      </x:c>
    </x:row>
    <x:row r="733" ht="36" customHeight="1">
      <x:c r="A733" s="29" t="str">
        <x:v>Economics</x:v>
      </x:c>
      <x:c r="B733" s="33" t="str">
        <x:v>Leonid Kantorovich</x:v>
      </x:c>
      <x:c r="C733" s="35" t="n">
        <x:v>1975</x:v>
      </x:c>
      <x:c r="D733" s="36" t="str">
        <x:v>1975</x:v>
      </x:c>
      <x:c r="E733" s="36" t="str">
        <x:v>Person</x:v>
      </x:c>
      <x:c r="F733" s="37" t="str">
        <x:v>Clear</x:v>
      </x:c>
      <x:c r="G733" s="33" t="str">
        <x:v>Deep pure mathematics and the creation of linear programming.</x:v>
      </x:c>
      <x:c r="H733" s="29" t="str">
        <x:v>Economics roster</x:v>
      </x:c>
    </x:row>
    <x:row r="734" ht="36" customHeight="1">
      <x:c r="A734" s="29" t="str">
        <x:v>Economics</x:v>
      </x:c>
      <x:c r="B734" s="33" t="str">
        <x:v>Tjalling Koopmans</x:v>
      </x:c>
      <x:c r="C734" s="35" t="n">
        <x:v>1975</x:v>
      </x:c>
      <x:c r="D734" s="36" t="str">
        <x:v>1975</x:v>
      </x:c>
      <x:c r="E734" s="36" t="str">
        <x:v>Person</x:v>
      </x:c>
      <x:c r="F734" s="37" t="str">
        <x:v>Not established here</x:v>
      </x:c>
      <x:c r="G734" s="33" t="str">
        <x:v>Not included in this affirmative shortlist. This is not a finding of non-genius.</x:v>
      </x:c>
      <x:c r="H734" s="29" t="str">
        <x:v>Economics roster</x:v>
      </x:c>
    </x:row>
    <x:row r="735" ht="36" customHeight="1">
      <x:c r="A735" s="29" t="str">
        <x:v>Economics</x:v>
      </x:c>
      <x:c r="B735" s="33" t="str">
        <x:v>Milton Friedman</x:v>
      </x:c>
      <x:c r="C735" s="35" t="n">
        <x:v>1976</x:v>
      </x:c>
      <x:c r="D735" s="36" t="str">
        <x:v>1976</x:v>
      </x:c>
      <x:c r="E735" s="36" t="str">
        <x:v>Person</x:v>
      </x:c>
      <x:c r="F735" s="37" t="str">
        <x:v>Borderline</x:v>
      </x:c>
      <x:c r="G735" s="33" t="str">
        <x:v>Strong case for exceptional originality, but I am less certain of equivalence to the user's very high benchmark.</x:v>
      </x:c>
      <x:c r="H735" s="29" t="str">
        <x:v>Economics roster</x:v>
      </x:c>
    </x:row>
    <x:row r="736" ht="36" customHeight="1">
      <x:c r="A736" s="29" t="str">
        <x:v>Economics</x:v>
      </x:c>
      <x:c r="B736" s="33" t="str">
        <x:v>Bertil Ohlin</x:v>
      </x:c>
      <x:c r="C736" s="35" t="n">
        <x:v>1977</x:v>
      </x:c>
      <x:c r="D736" s="36" t="str">
        <x:v>1977</x:v>
      </x:c>
      <x:c r="E736" s="36" t="str">
        <x:v>Person</x:v>
      </x:c>
      <x:c r="F736" s="37" t="str">
        <x:v>Not established here</x:v>
      </x:c>
      <x:c r="G736" s="33" t="str">
        <x:v>Not included in this affirmative shortlist. This is not a finding of non-genius.</x:v>
      </x:c>
      <x:c r="H736" s="29" t="str">
        <x:v>Economics roster</x:v>
      </x:c>
    </x:row>
    <x:row r="737" ht="36" customHeight="1">
      <x:c r="A737" s="29" t="str">
        <x:v>Economics</x:v>
      </x:c>
      <x:c r="B737" s="33" t="str">
        <x:v>James Meade</x:v>
      </x:c>
      <x:c r="C737" s="35" t="n">
        <x:v>1977</x:v>
      </x:c>
      <x:c r="D737" s="36" t="str">
        <x:v>1977</x:v>
      </x:c>
      <x:c r="E737" s="36" t="str">
        <x:v>Person</x:v>
      </x:c>
      <x:c r="F737" s="37" t="str">
        <x:v>Not established here</x:v>
      </x:c>
      <x:c r="G737" s="33" t="str">
        <x:v>Not included in this affirmative shortlist. This is not a finding of non-genius.</x:v>
      </x:c>
      <x:c r="H737" s="29" t="str">
        <x:v>Economics roster</x:v>
      </x:c>
    </x:row>
    <x:row r="738" ht="36" customHeight="1">
      <x:c r="A738" s="29" t="str">
        <x:v>Economics</x:v>
      </x:c>
      <x:c r="B738" s="33" t="str">
        <x:v>Herbert A. Simon</x:v>
      </x:c>
      <x:c r="C738" s="35" t="n">
        <x:v>1978</x:v>
      </x:c>
      <x:c r="D738" s="36" t="str">
        <x:v>1978</x:v>
      </x:c>
      <x:c r="E738" s="36" t="str">
        <x:v>Person</x:v>
      </x:c>
      <x:c r="F738" s="37" t="str">
        <x:v>Clear</x:v>
      </x:c>
      <x:c r="G738" s="33" t="str">
        <x:v>Originality across decision theory, cognitive science and artificial intelligence.</x:v>
      </x:c>
      <x:c r="H738" s="29" t="str">
        <x:v>Economics roster</x:v>
      </x:c>
    </x:row>
    <x:row r="739" ht="36" customHeight="1">
      <x:c r="A739" s="29" t="str">
        <x:v>Economics</x:v>
      </x:c>
      <x:c r="B739" s="33" t="str">
        <x:v>Theodore Schultz</x:v>
      </x:c>
      <x:c r="C739" s="35" t="n">
        <x:v>1979</x:v>
      </x:c>
      <x:c r="D739" s="36" t="str">
        <x:v>1979</x:v>
      </x:c>
      <x:c r="E739" s="36" t="str">
        <x:v>Person</x:v>
      </x:c>
      <x:c r="F739" s="37" t="str">
        <x:v>Not established here</x:v>
      </x:c>
      <x:c r="G739" s="33" t="str">
        <x:v>Not included in this affirmative shortlist. This is not a finding of non-genius.</x:v>
      </x:c>
      <x:c r="H739" s="29" t="str">
        <x:v>Economics roster</x:v>
      </x:c>
    </x:row>
    <x:row r="740" ht="36" customHeight="1">
      <x:c r="A740" s="29" t="str">
        <x:v>Economics</x:v>
      </x:c>
      <x:c r="B740" s="33" t="str">
        <x:v>W. Arthur Lewis</x:v>
      </x:c>
      <x:c r="C740" s="35" t="n">
        <x:v>1979</x:v>
      </x:c>
      <x:c r="D740" s="36" t="str">
        <x:v>1979</x:v>
      </x:c>
      <x:c r="E740" s="36" t="str">
        <x:v>Person</x:v>
      </x:c>
      <x:c r="F740" s="37" t="str">
        <x:v>Not established here</x:v>
      </x:c>
      <x:c r="G740" s="33" t="str">
        <x:v>Not included in this affirmative shortlist. This is not a finding of non-genius.</x:v>
      </x:c>
      <x:c r="H740" s="29" t="str">
        <x:v>Economics roster</x:v>
      </x:c>
    </x:row>
    <x:row r="741" ht="36" customHeight="1">
      <x:c r="A741" s="29" t="str">
        <x:v>Economics</x:v>
      </x:c>
      <x:c r="B741" s="33" t="str">
        <x:v>Lawrence Klein</x:v>
      </x:c>
      <x:c r="C741" s="35" t="n">
        <x:v>1980</x:v>
      </x:c>
      <x:c r="D741" s="36" t="str">
        <x:v>1980</x:v>
      </x:c>
      <x:c r="E741" s="36" t="str">
        <x:v>Person</x:v>
      </x:c>
      <x:c r="F741" s="37" t="str">
        <x:v>Not established here</x:v>
      </x:c>
      <x:c r="G741" s="33" t="str">
        <x:v>Not included in this affirmative shortlist. This is not a finding of non-genius.</x:v>
      </x:c>
      <x:c r="H741" s="29" t="str">
        <x:v>Economics roster</x:v>
      </x:c>
    </x:row>
    <x:row r="742" ht="36" customHeight="1">
      <x:c r="A742" s="29" t="str">
        <x:v>Economics</x:v>
      </x:c>
      <x:c r="B742" s="33" t="str">
        <x:v>James Tobin</x:v>
      </x:c>
      <x:c r="C742" s="35" t="n">
        <x:v>1981</x:v>
      </x:c>
      <x:c r="D742" s="36" t="str">
        <x:v>1981</x:v>
      </x:c>
      <x:c r="E742" s="36" t="str">
        <x:v>Person</x:v>
      </x:c>
      <x:c r="F742" s="37" t="str">
        <x:v>Not established here</x:v>
      </x:c>
      <x:c r="G742" s="33" t="str">
        <x:v>Not included in this affirmative shortlist. This is not a finding of non-genius.</x:v>
      </x:c>
      <x:c r="H742" s="29" t="str">
        <x:v>Economics roster</x:v>
      </x:c>
    </x:row>
    <x:row r="743" ht="36" customHeight="1">
      <x:c r="A743" s="29" t="str">
        <x:v>Economics</x:v>
      </x:c>
      <x:c r="B743" s="33" t="str">
        <x:v>George Stigler</x:v>
      </x:c>
      <x:c r="C743" s="35" t="n">
        <x:v>1982</x:v>
      </x:c>
      <x:c r="D743" s="36" t="str">
        <x:v>1982</x:v>
      </x:c>
      <x:c r="E743" s="36" t="str">
        <x:v>Person</x:v>
      </x:c>
      <x:c r="F743" s="37" t="str">
        <x:v>Not established here</x:v>
      </x:c>
      <x:c r="G743" s="33" t="str">
        <x:v>Not included in this affirmative shortlist. This is not a finding of non-genius.</x:v>
      </x:c>
      <x:c r="H743" s="29" t="str">
        <x:v>Economics roster</x:v>
      </x:c>
    </x:row>
    <x:row r="744" ht="36" customHeight="1">
      <x:c r="A744" s="29" t="str">
        <x:v>Economics</x:v>
      </x:c>
      <x:c r="B744" s="33" t="str">
        <x:v>Gérard Debreu</x:v>
      </x:c>
      <x:c r="C744" s="35" t="n">
        <x:v>1983</x:v>
      </x:c>
      <x:c r="D744" s="36" t="str">
        <x:v>1983</x:v>
      </x:c>
      <x:c r="E744" s="36" t="str">
        <x:v>Person</x:v>
      </x:c>
      <x:c r="F744" s="37" t="str">
        <x:v>Clear</x:v>
      </x:c>
      <x:c r="G744" s="33" t="str">
        <x:v>Foundational mathematical reconstruction of general-equilibrium economics.</x:v>
      </x:c>
      <x:c r="H744" s="29" t="str">
        <x:v>Economics roster</x:v>
      </x:c>
    </x:row>
    <x:row r="745" ht="36" customHeight="1">
      <x:c r="A745" s="29" t="str">
        <x:v>Economics</x:v>
      </x:c>
      <x:c r="B745" s="33" t="str">
        <x:v>Richard Stone</x:v>
      </x:c>
      <x:c r="C745" s="35" t="n">
        <x:v>1984</x:v>
      </x:c>
      <x:c r="D745" s="36" t="str">
        <x:v>1984</x:v>
      </x:c>
      <x:c r="E745" s="36" t="str">
        <x:v>Person</x:v>
      </x:c>
      <x:c r="F745" s="37" t="str">
        <x:v>Not established here</x:v>
      </x:c>
      <x:c r="G745" s="33" t="str">
        <x:v>Not included in this affirmative shortlist. This is not a finding of non-genius.</x:v>
      </x:c>
      <x:c r="H745" s="29" t="str">
        <x:v>Economics roster</x:v>
      </x:c>
    </x:row>
    <x:row r="746" ht="36" customHeight="1">
      <x:c r="A746" s="29" t="str">
        <x:v>Economics</x:v>
      </x:c>
      <x:c r="B746" s="33" t="str">
        <x:v>Franco Modigliani</x:v>
      </x:c>
      <x:c r="C746" s="35" t="n">
        <x:v>1985</x:v>
      </x:c>
      <x:c r="D746" s="36" t="str">
        <x:v>1985</x:v>
      </x:c>
      <x:c r="E746" s="36" t="str">
        <x:v>Person</x:v>
      </x:c>
      <x:c r="F746" s="37" t="str">
        <x:v>Not established here</x:v>
      </x:c>
      <x:c r="G746" s="33" t="str">
        <x:v>Not included in this affirmative shortlist. This is not a finding of non-genius.</x:v>
      </x:c>
      <x:c r="H746" s="29" t="str">
        <x:v>Economics roster</x:v>
      </x:c>
    </x:row>
    <x:row r="747" ht="36" customHeight="1">
      <x:c r="A747" s="29" t="str">
        <x:v>Economics</x:v>
      </x:c>
      <x:c r="B747" s="33" t="str">
        <x:v>James M. Buchanan</x:v>
      </x:c>
      <x:c r="C747" s="35" t="n">
        <x:v>1986</x:v>
      </x:c>
      <x:c r="D747" s="36" t="str">
        <x:v>1986</x:v>
      </x:c>
      <x:c r="E747" s="36" t="str">
        <x:v>Person</x:v>
      </x:c>
      <x:c r="F747" s="37" t="str">
        <x:v>Not established here</x:v>
      </x:c>
      <x:c r="G747" s="33" t="str">
        <x:v>Not included in this affirmative shortlist. This is not a finding of non-genius.</x:v>
      </x:c>
      <x:c r="H747" s="29" t="str">
        <x:v>Economics roster</x:v>
      </x:c>
    </x:row>
    <x:row r="748" ht="36" customHeight="1">
      <x:c r="A748" s="29" t="str">
        <x:v>Economics</x:v>
      </x:c>
      <x:c r="B748" s="33" t="str">
        <x:v>Robert Solow</x:v>
      </x:c>
      <x:c r="C748" s="35" t="n">
        <x:v>1987</x:v>
      </x:c>
      <x:c r="D748" s="36" t="str">
        <x:v>1987</x:v>
      </x:c>
      <x:c r="E748" s="36" t="str">
        <x:v>Person</x:v>
      </x:c>
      <x:c r="F748" s="37" t="str">
        <x:v>Borderline</x:v>
      </x:c>
      <x:c r="G748" s="33" t="str">
        <x:v>Strong case for exceptional originality, but I am less certain of equivalence to the user's very high benchmark.</x:v>
      </x:c>
      <x:c r="H748" s="29" t="str">
        <x:v>Economics roster</x:v>
      </x:c>
    </x:row>
    <x:row r="749" ht="36" customHeight="1">
      <x:c r="A749" s="29" t="str">
        <x:v>Economics</x:v>
      </x:c>
      <x:c r="B749" s="33" t="str">
        <x:v>Maurice Allais</x:v>
      </x:c>
      <x:c r="C749" s="35" t="n">
        <x:v>1988</x:v>
      </x:c>
      <x:c r="D749" s="36" t="str">
        <x:v>1988</x:v>
      </x:c>
      <x:c r="E749" s="36" t="str">
        <x:v>Person</x:v>
      </x:c>
      <x:c r="F749" s="37" t="str">
        <x:v>Borderline</x:v>
      </x:c>
      <x:c r="G749" s="33" t="str">
        <x:v>Strong case for exceptional originality, but I am less certain of equivalence to the user's very high benchmark.</x:v>
      </x:c>
      <x:c r="H749" s="29" t="str">
        <x:v>Economics roster</x:v>
      </x:c>
    </x:row>
    <x:row r="750" ht="36" customHeight="1">
      <x:c r="A750" s="29" t="str">
        <x:v>Economics</x:v>
      </x:c>
      <x:c r="B750" s="33" t="str">
        <x:v>Trygve Haavelmo</x:v>
      </x:c>
      <x:c r="C750" s="35" t="n">
        <x:v>1989</x:v>
      </x:c>
      <x:c r="D750" s="36" t="str">
        <x:v>1989</x:v>
      </x:c>
      <x:c r="E750" s="36" t="str">
        <x:v>Person</x:v>
      </x:c>
      <x:c r="F750" s="37" t="str">
        <x:v>Not established here</x:v>
      </x:c>
      <x:c r="G750" s="33" t="str">
        <x:v>Not included in this affirmative shortlist. This is not a finding of non-genius.</x:v>
      </x:c>
      <x:c r="H750" s="29" t="str">
        <x:v>Economics roster</x:v>
      </x:c>
    </x:row>
    <x:row r="751" ht="36" customHeight="1">
      <x:c r="A751" s="29" t="str">
        <x:v>Economics</x:v>
      </x:c>
      <x:c r="B751" s="33" t="str">
        <x:v>Harry Markowitz</x:v>
      </x:c>
      <x:c r="C751" s="35" t="n">
        <x:v>1990</x:v>
      </x:c>
      <x:c r="D751" s="36" t="str">
        <x:v>1990</x:v>
      </x:c>
      <x:c r="E751" s="36" t="str">
        <x:v>Person</x:v>
      </x:c>
      <x:c r="F751" s="37" t="str">
        <x:v>Borderline</x:v>
      </x:c>
      <x:c r="G751" s="33" t="str">
        <x:v>Strong case for exceptional originality, but I am less certain of equivalence to the user's very high benchmark.</x:v>
      </x:c>
      <x:c r="H751" s="29" t="str">
        <x:v>Economics roster</x:v>
      </x:c>
    </x:row>
    <x:row r="752" ht="36" customHeight="1">
      <x:c r="A752" s="29" t="str">
        <x:v>Economics</x:v>
      </x:c>
      <x:c r="B752" s="33" t="str">
        <x:v>Merton Miller</x:v>
      </x:c>
      <x:c r="C752" s="35" t="n">
        <x:v>1990</x:v>
      </x:c>
      <x:c r="D752" s="36" t="str">
        <x:v>1990</x:v>
      </x:c>
      <x:c r="E752" s="36" t="str">
        <x:v>Person</x:v>
      </x:c>
      <x:c r="F752" s="37" t="str">
        <x:v>Not established here</x:v>
      </x:c>
      <x:c r="G752" s="33" t="str">
        <x:v>Not included in this affirmative shortlist. This is not a finding of non-genius.</x:v>
      </x:c>
      <x:c r="H752" s="29" t="str">
        <x:v>Economics roster</x:v>
      </x:c>
    </x:row>
    <x:row r="753" ht="36" customHeight="1">
      <x:c r="A753" s="29" t="str">
        <x:v>Economics</x:v>
      </x:c>
      <x:c r="B753" s="33" t="str">
        <x:v>William F. Sharpe</x:v>
      </x:c>
      <x:c r="C753" s="35" t="n">
        <x:v>1990</x:v>
      </x:c>
      <x:c r="D753" s="36" t="str">
        <x:v>1990</x:v>
      </x:c>
      <x:c r="E753" s="36" t="str">
        <x:v>Person</x:v>
      </x:c>
      <x:c r="F753" s="37" t="str">
        <x:v>Not established here</x:v>
      </x:c>
      <x:c r="G753" s="33" t="str">
        <x:v>Not included in this affirmative shortlist. This is not a finding of non-genius.</x:v>
      </x:c>
      <x:c r="H753" s="29" t="str">
        <x:v>Economics roster</x:v>
      </x:c>
    </x:row>
    <x:row r="754" ht="36" customHeight="1">
      <x:c r="A754" s="29" t="str">
        <x:v>Economics</x:v>
      </x:c>
      <x:c r="B754" s="33" t="str">
        <x:v>Ronald Coase</x:v>
      </x:c>
      <x:c r="C754" s="35" t="n">
        <x:v>1991</x:v>
      </x:c>
      <x:c r="D754" s="36" t="str">
        <x:v>1991</x:v>
      </x:c>
      <x:c r="E754" s="36" t="str">
        <x:v>Person</x:v>
      </x:c>
      <x:c r="F754" s="37" t="str">
        <x:v>Borderline</x:v>
      </x:c>
      <x:c r="G754" s="33" t="str">
        <x:v>Strong case for exceptional originality, but I am less certain of equivalence to the user's very high benchmark.</x:v>
      </x:c>
      <x:c r="H754" s="29" t="str">
        <x:v>Economics roster</x:v>
      </x:c>
    </x:row>
    <x:row r="755" ht="36" customHeight="1">
      <x:c r="A755" s="29" t="str">
        <x:v>Economics</x:v>
      </x:c>
      <x:c r="B755" s="33" t="str">
        <x:v>Gary Becker</x:v>
      </x:c>
      <x:c r="C755" s="35" t="n">
        <x:v>1992</x:v>
      </x:c>
      <x:c r="D755" s="36" t="str">
        <x:v>1992</x:v>
      </x:c>
      <x:c r="E755" s="36" t="str">
        <x:v>Person</x:v>
      </x:c>
      <x:c r="F755" s="37" t="str">
        <x:v>Borderline</x:v>
      </x:c>
      <x:c r="G755" s="33" t="str">
        <x:v>Strong case for exceptional originality, but I am less certain of equivalence to the user's very high benchmark.</x:v>
      </x:c>
      <x:c r="H755" s="29" t="str">
        <x:v>Economics roster</x:v>
      </x:c>
    </x:row>
    <x:row r="756" ht="36" customHeight="1">
      <x:c r="A756" s="29" t="str">
        <x:v>Economics</x:v>
      </x:c>
      <x:c r="B756" s="33" t="str">
        <x:v>Douglass North</x:v>
      </x:c>
      <x:c r="C756" s="35" t="n">
        <x:v>1993</x:v>
      </x:c>
      <x:c r="D756" s="36" t="str">
        <x:v>1993</x:v>
      </x:c>
      <x:c r="E756" s="36" t="str">
        <x:v>Person</x:v>
      </x:c>
      <x:c r="F756" s="37" t="str">
        <x:v>Not established here</x:v>
      </x:c>
      <x:c r="G756" s="33" t="str">
        <x:v>Not included in this affirmative shortlist. This is not a finding of non-genius.</x:v>
      </x:c>
      <x:c r="H756" s="29" t="str">
        <x:v>Economics roster</x:v>
      </x:c>
    </x:row>
    <x:row r="757" ht="36" customHeight="1">
      <x:c r="A757" s="29" t="str">
        <x:v>Economics</x:v>
      </x:c>
      <x:c r="B757" s="33" t="str">
        <x:v>Robert Fogel</x:v>
      </x:c>
      <x:c r="C757" s="35" t="n">
        <x:v>1993</x:v>
      </x:c>
      <x:c r="D757" s="36" t="str">
        <x:v>1993</x:v>
      </x:c>
      <x:c r="E757" s="36" t="str">
        <x:v>Person</x:v>
      </x:c>
      <x:c r="F757" s="37" t="str">
        <x:v>Not established here</x:v>
      </x:c>
      <x:c r="G757" s="33" t="str">
        <x:v>Not included in this affirmative shortlist. This is not a finding of non-genius.</x:v>
      </x:c>
      <x:c r="H757" s="29" t="str">
        <x:v>Economics roster</x:v>
      </x:c>
    </x:row>
    <x:row r="758" ht="36" customHeight="1">
      <x:c r="A758" s="29" t="str">
        <x:v>Economics</x:v>
      </x:c>
      <x:c r="B758" s="33" t="str">
        <x:v>John Forbes Nash Jr.</x:v>
      </x:c>
      <x:c r="C758" s="35" t="n">
        <x:v>1994</x:v>
      </x:c>
      <x:c r="D758" s="36" t="str">
        <x:v>1994</x:v>
      </x:c>
      <x:c r="E758" s="36" t="str">
        <x:v>Person</x:v>
      </x:c>
      <x:c r="F758" s="37" t="str">
        <x:v>Clear</x:v>
      </x:c>
      <x:c r="G758" s="33" t="str">
        <x:v>User-specified calibration case; also major pure-mathematical breakthroughs.</x:v>
      </x:c>
      <x:c r="H758" s="29" t="str">
        <x:v>Economics roster</x:v>
      </x:c>
    </x:row>
    <x:row r="759" ht="36" customHeight="1">
      <x:c r="A759" s="29" t="str">
        <x:v>Economics</x:v>
      </x:c>
      <x:c r="B759" s="33" t="str">
        <x:v>John Harsanyi</x:v>
      </x:c>
      <x:c r="C759" s="35" t="n">
        <x:v>1994</x:v>
      </x:c>
      <x:c r="D759" s="36" t="str">
        <x:v>1994</x:v>
      </x:c>
      <x:c r="E759" s="36" t="str">
        <x:v>Person</x:v>
      </x:c>
      <x:c r="F759" s="37" t="str">
        <x:v>Not established here</x:v>
      </x:c>
      <x:c r="G759" s="33" t="str">
        <x:v>Not included in this affirmative shortlist. This is not a finding of non-genius.</x:v>
      </x:c>
      <x:c r="H759" s="29" t="str">
        <x:v>Economics roster</x:v>
      </x:c>
    </x:row>
    <x:row r="760" ht="36" customHeight="1">
      <x:c r="A760" s="29" t="str">
        <x:v>Economics</x:v>
      </x:c>
      <x:c r="B760" s="33" t="str">
        <x:v>Reinhard Selten</x:v>
      </x:c>
      <x:c r="C760" s="35" t="n">
        <x:v>1994</x:v>
      </x:c>
      <x:c r="D760" s="36" t="str">
        <x:v>1994</x:v>
      </x:c>
      <x:c r="E760" s="36" t="str">
        <x:v>Person</x:v>
      </x:c>
      <x:c r="F760" s="37" t="str">
        <x:v>Not established here</x:v>
      </x:c>
      <x:c r="G760" s="33" t="str">
        <x:v>Not included in this affirmative shortlist. This is not a finding of non-genius.</x:v>
      </x:c>
      <x:c r="H760" s="29" t="str">
        <x:v>Economics roster</x:v>
      </x:c>
    </x:row>
    <x:row r="761" ht="36" customHeight="1">
      <x:c r="A761" s="29" t="str">
        <x:v>Economics</x:v>
      </x:c>
      <x:c r="B761" s="33" t="str">
        <x:v>Robert Lucas Jr.</x:v>
      </x:c>
      <x:c r="C761" s="35" t="n">
        <x:v>1995</x:v>
      </x:c>
      <x:c r="D761" s="36" t="str">
        <x:v>1995</x:v>
      </x:c>
      <x:c r="E761" s="36" t="str">
        <x:v>Person</x:v>
      </x:c>
      <x:c r="F761" s="37" t="str">
        <x:v>Borderline</x:v>
      </x:c>
      <x:c r="G761" s="33" t="str">
        <x:v>Strong case for exceptional originality, but I am less certain of equivalence to the user's very high benchmark.</x:v>
      </x:c>
      <x:c r="H761" s="29" t="str">
        <x:v>Economics roster</x:v>
      </x:c>
    </x:row>
    <x:row r="762" ht="36" customHeight="1">
      <x:c r="A762" s="29" t="str">
        <x:v>Economics</x:v>
      </x:c>
      <x:c r="B762" s="33" t="str">
        <x:v>James Mirrlees</x:v>
      </x:c>
      <x:c r="C762" s="35" t="n">
        <x:v>1996</x:v>
      </x:c>
      <x:c r="D762" s="36" t="str">
        <x:v>1996</x:v>
      </x:c>
      <x:c r="E762" s="36" t="str">
        <x:v>Person</x:v>
      </x:c>
      <x:c r="F762" s="37" t="str">
        <x:v>Borderline</x:v>
      </x:c>
      <x:c r="G762" s="33" t="str">
        <x:v>Strong case for exceptional originality, but I am less certain of equivalence to the user's very high benchmark.</x:v>
      </x:c>
      <x:c r="H762" s="29" t="str">
        <x:v>Economics roster</x:v>
      </x:c>
    </x:row>
    <x:row r="763" ht="36" customHeight="1">
      <x:c r="A763" s="29" t="str">
        <x:v>Economics</x:v>
      </x:c>
      <x:c r="B763" s="33" t="str">
        <x:v>William Vickrey</x:v>
      </x:c>
      <x:c r="C763" s="35" t="n">
        <x:v>1996</x:v>
      </x:c>
      <x:c r="D763" s="36" t="str">
        <x:v>1996</x:v>
      </x:c>
      <x:c r="E763" s="36" t="str">
        <x:v>Person</x:v>
      </x:c>
      <x:c r="F763" s="37" t="str">
        <x:v>Not established here</x:v>
      </x:c>
      <x:c r="G763" s="33" t="str">
        <x:v>Not included in this affirmative shortlist. This is not a finding of non-genius.</x:v>
      </x:c>
      <x:c r="H763" s="29" t="str">
        <x:v>Economics roster</x:v>
      </x:c>
    </x:row>
    <x:row r="764" ht="36" customHeight="1">
      <x:c r="A764" s="29" t="str">
        <x:v>Economics</x:v>
      </x:c>
      <x:c r="B764" s="33" t="str">
        <x:v>Myron Scholes</x:v>
      </x:c>
      <x:c r="C764" s="35" t="n">
        <x:v>1997</x:v>
      </x:c>
      <x:c r="D764" s="36" t="str">
        <x:v>1997</x:v>
      </x:c>
      <x:c r="E764" s="36" t="str">
        <x:v>Person</x:v>
      </x:c>
      <x:c r="F764" s="37" t="str">
        <x:v>Not established here</x:v>
      </x:c>
      <x:c r="G764" s="33" t="str">
        <x:v>Not included in this affirmative shortlist. This is not a finding of non-genius.</x:v>
      </x:c>
      <x:c r="H764" s="29" t="str">
        <x:v>Economics roster</x:v>
      </x:c>
    </x:row>
    <x:row r="765" ht="36" customHeight="1">
      <x:c r="A765" s="29" t="str">
        <x:v>Economics</x:v>
      </x:c>
      <x:c r="B765" s="33" t="str">
        <x:v>Robert C. Merton</x:v>
      </x:c>
      <x:c r="C765" s="35" t="n">
        <x:v>1997</x:v>
      </x:c>
      <x:c r="D765" s="36" t="str">
        <x:v>1997</x:v>
      </x:c>
      <x:c r="E765" s="36" t="str">
        <x:v>Person</x:v>
      </x:c>
      <x:c r="F765" s="37" t="str">
        <x:v>Borderline</x:v>
      </x:c>
      <x:c r="G765" s="33" t="str">
        <x:v>Strong case for exceptional originality, but I am less certain of equivalence to the user's very high benchmark.</x:v>
      </x:c>
      <x:c r="H765" s="29" t="str">
        <x:v>Economics roster</x:v>
      </x:c>
    </x:row>
    <x:row r="766" ht="36" customHeight="1">
      <x:c r="A766" s="29" t="str">
        <x:v>Economics</x:v>
      </x:c>
      <x:c r="B766" s="33" t="str">
        <x:v>Amartya Sen</x:v>
      </x:c>
      <x:c r="C766" s="35" t="n">
        <x:v>1998</x:v>
      </x:c>
      <x:c r="D766" s="36" t="str">
        <x:v>1998</x:v>
      </x:c>
      <x:c r="E766" s="36" t="str">
        <x:v>Person</x:v>
      </x:c>
      <x:c r="F766" s="37" t="str">
        <x:v>Borderline</x:v>
      </x:c>
      <x:c r="G766" s="33" t="str">
        <x:v>Strong case for exceptional originality, but I am less certain of equivalence to the user's very high benchmark.</x:v>
      </x:c>
      <x:c r="H766" s="29" t="str">
        <x:v>Economics roster</x:v>
      </x:c>
    </x:row>
    <x:row r="767" ht="36" customHeight="1">
      <x:c r="A767" s="29" t="str">
        <x:v>Economics</x:v>
      </x:c>
      <x:c r="B767" s="33" t="str">
        <x:v>Robert Mundell</x:v>
      </x:c>
      <x:c r="C767" s="35" t="n">
        <x:v>1999</x:v>
      </x:c>
      <x:c r="D767" s="36" t="str">
        <x:v>1999</x:v>
      </x:c>
      <x:c r="E767" s="36" t="str">
        <x:v>Person</x:v>
      </x:c>
      <x:c r="F767" s="37" t="str">
        <x:v>Not established here</x:v>
      </x:c>
      <x:c r="G767" s="33" t="str">
        <x:v>Not included in this affirmative shortlist. This is not a finding of non-genius.</x:v>
      </x:c>
      <x:c r="H767" s="29" t="str">
        <x:v>Economics roster</x:v>
      </x:c>
    </x:row>
    <x:row r="768" ht="36" customHeight="1">
      <x:c r="A768" s="29" t="str">
        <x:v>Economics</x:v>
      </x:c>
      <x:c r="B768" s="33" t="str">
        <x:v>Daniel McFadden</x:v>
      </x:c>
      <x:c r="C768" s="35" t="n">
        <x:v>2000</x:v>
      </x:c>
      <x:c r="D768" s="36" t="str">
        <x:v>2000</x:v>
      </x:c>
      <x:c r="E768" s="36" t="str">
        <x:v>Person</x:v>
      </x:c>
      <x:c r="F768" s="37" t="str">
        <x:v>Not established here</x:v>
      </x:c>
      <x:c r="G768" s="33" t="str">
        <x:v>Not included in this affirmative shortlist. This is not a finding of non-genius.</x:v>
      </x:c>
      <x:c r="H768" s="29" t="str">
        <x:v>Economics roster</x:v>
      </x:c>
    </x:row>
    <x:row r="769" ht="36" customHeight="1">
      <x:c r="A769" s="29" t="str">
        <x:v>Economics</x:v>
      </x:c>
      <x:c r="B769" s="33" t="str">
        <x:v>James Heckman</x:v>
      </x:c>
      <x:c r="C769" s="35" t="n">
        <x:v>2000</x:v>
      </x:c>
      <x:c r="D769" s="36" t="str">
        <x:v>2000</x:v>
      </x:c>
      <x:c r="E769" s="36" t="str">
        <x:v>Person</x:v>
      </x:c>
      <x:c r="F769" s="37" t="str">
        <x:v>Not established here</x:v>
      </x:c>
      <x:c r="G769" s="33" t="str">
        <x:v>Not included in this affirmative shortlist. This is not a finding of non-genius.</x:v>
      </x:c>
      <x:c r="H769" s="29" t="str">
        <x:v>Economics roster</x:v>
      </x:c>
    </x:row>
    <x:row r="770" ht="36" customHeight="1">
      <x:c r="A770" s="29" t="str">
        <x:v>Economics</x:v>
      </x:c>
      <x:c r="B770" s="33" t="str">
        <x:v>George Akerlof</x:v>
      </x:c>
      <x:c r="C770" s="35" t="n">
        <x:v>2001</x:v>
      </x:c>
      <x:c r="D770" s="36" t="str">
        <x:v>2001</x:v>
      </x:c>
      <x:c r="E770" s="36" t="str">
        <x:v>Person</x:v>
      </x:c>
      <x:c r="F770" s="37" t="str">
        <x:v>Not established here</x:v>
      </x:c>
      <x:c r="G770" s="33" t="str">
        <x:v>Not included in this affirmative shortlist. This is not a finding of non-genius.</x:v>
      </x:c>
      <x:c r="H770" s="29" t="str">
        <x:v>Economics roster</x:v>
      </x:c>
    </x:row>
    <x:row r="771" ht="36" customHeight="1">
      <x:c r="A771" s="29" t="str">
        <x:v>Economics</x:v>
      </x:c>
      <x:c r="B771" s="33" t="str">
        <x:v>Joseph Stiglitz</x:v>
      </x:c>
      <x:c r="C771" s="35" t="n">
        <x:v>2001</x:v>
      </x:c>
      <x:c r="D771" s="36" t="str">
        <x:v>2001</x:v>
      </x:c>
      <x:c r="E771" s="36" t="str">
        <x:v>Person</x:v>
      </x:c>
      <x:c r="F771" s="37" t="str">
        <x:v>Borderline</x:v>
      </x:c>
      <x:c r="G771" s="33" t="str">
        <x:v>Strong case for exceptional originality, but I am less certain of equivalence to the user's very high benchmark.</x:v>
      </x:c>
      <x:c r="H771" s="29" t="str">
        <x:v>Economics roster</x:v>
      </x:c>
    </x:row>
    <x:row r="772" ht="36" customHeight="1">
      <x:c r="A772" s="29" t="str">
        <x:v>Economics</x:v>
      </x:c>
      <x:c r="B772" s="33" t="str">
        <x:v>Michael Spence</x:v>
      </x:c>
      <x:c r="C772" s="35" t="n">
        <x:v>2001</x:v>
      </x:c>
      <x:c r="D772" s="36" t="str">
        <x:v>2001</x:v>
      </x:c>
      <x:c r="E772" s="36" t="str">
        <x:v>Person</x:v>
      </x:c>
      <x:c r="F772" s="37" t="str">
        <x:v>Not established here</x:v>
      </x:c>
      <x:c r="G772" s="33" t="str">
        <x:v>Not included in this affirmative shortlist. This is not a finding of non-genius.</x:v>
      </x:c>
      <x:c r="H772" s="29" t="str">
        <x:v>Economics roster</x:v>
      </x:c>
    </x:row>
    <x:row r="773" ht="36" customHeight="1">
      <x:c r="A773" s="29" t="str">
        <x:v>Economics</x:v>
      </x:c>
      <x:c r="B773" s="33" t="str">
        <x:v>Daniel Kahneman</x:v>
      </x:c>
      <x:c r="C773" s="35" t="n">
        <x:v>2002</x:v>
      </x:c>
      <x:c r="D773" s="36" t="str">
        <x:v>2002</x:v>
      </x:c>
      <x:c r="E773" s="36" t="str">
        <x:v>Person</x:v>
      </x:c>
      <x:c r="F773" s="37" t="str">
        <x:v>Borderline</x:v>
      </x:c>
      <x:c r="G773" s="33" t="str">
        <x:v>Strong case for exceptional originality, but I am less certain of equivalence to the user's very high benchmark.</x:v>
      </x:c>
      <x:c r="H773" s="29" t="str">
        <x:v>Economics roster</x:v>
      </x:c>
    </x:row>
    <x:row r="774" ht="36" customHeight="1">
      <x:c r="A774" s="29" t="str">
        <x:v>Economics</x:v>
      </x:c>
      <x:c r="B774" s="33" t="str">
        <x:v>Vernon L. Smith</x:v>
      </x:c>
      <x:c r="C774" s="35" t="n">
        <x:v>2002</x:v>
      </x:c>
      <x:c r="D774" s="36" t="str">
        <x:v>2002</x:v>
      </x:c>
      <x:c r="E774" s="36" t="str">
        <x:v>Person</x:v>
      </x:c>
      <x:c r="F774" s="37" t="str">
        <x:v>Not established here</x:v>
      </x:c>
      <x:c r="G774" s="33" t="str">
        <x:v>Not included in this affirmative shortlist. This is not a finding of non-genius.</x:v>
      </x:c>
      <x:c r="H774" s="29" t="str">
        <x:v>Economics roster</x:v>
      </x:c>
    </x:row>
    <x:row r="775" ht="36" customHeight="1">
      <x:c r="A775" s="29" t="str">
        <x:v>Economics</x:v>
      </x:c>
      <x:c r="B775" s="33" t="str">
        <x:v>Clive Granger</x:v>
      </x:c>
      <x:c r="C775" s="35" t="n">
        <x:v>2003</x:v>
      </x:c>
      <x:c r="D775" s="36" t="str">
        <x:v>2003</x:v>
      </x:c>
      <x:c r="E775" s="36" t="str">
        <x:v>Person</x:v>
      </x:c>
      <x:c r="F775" s="37" t="str">
        <x:v>Not established here</x:v>
      </x:c>
      <x:c r="G775" s="33" t="str">
        <x:v>Not included in this affirmative shortlist. This is not a finding of non-genius.</x:v>
      </x:c>
      <x:c r="H775" s="29" t="str">
        <x:v>Economics roster</x:v>
      </x:c>
    </x:row>
    <x:row r="776" ht="36" customHeight="1">
      <x:c r="A776" s="29" t="str">
        <x:v>Economics</x:v>
      </x:c>
      <x:c r="B776" s="33" t="str">
        <x:v>Robert F. Engle</x:v>
      </x:c>
      <x:c r="C776" s="35" t="n">
        <x:v>2003</x:v>
      </x:c>
      <x:c r="D776" s="36" t="str">
        <x:v>2003</x:v>
      </x:c>
      <x:c r="E776" s="36" t="str">
        <x:v>Person</x:v>
      </x:c>
      <x:c r="F776" s="37" t="str">
        <x:v>Not established here</x:v>
      </x:c>
      <x:c r="G776" s="33" t="str">
        <x:v>Not included in this affirmative shortlist. This is not a finding of non-genius.</x:v>
      </x:c>
      <x:c r="H776" s="29" t="str">
        <x:v>Economics roster</x:v>
      </x:c>
    </x:row>
    <x:row r="777" ht="36" customHeight="1">
      <x:c r="A777" s="29" t="str">
        <x:v>Economics</x:v>
      </x:c>
      <x:c r="B777" s="33" t="str">
        <x:v>Edward C. Prescott</x:v>
      </x:c>
      <x:c r="C777" s="35" t="n">
        <x:v>2004</x:v>
      </x:c>
      <x:c r="D777" s="36" t="str">
        <x:v>2004</x:v>
      </x:c>
      <x:c r="E777" s="36" t="str">
        <x:v>Person</x:v>
      </x:c>
      <x:c r="F777" s="37" t="str">
        <x:v>Not established here</x:v>
      </x:c>
      <x:c r="G777" s="33" t="str">
        <x:v>Not included in this affirmative shortlist. This is not a finding of non-genius.</x:v>
      </x:c>
      <x:c r="H777" s="29" t="str">
        <x:v>Economics roster</x:v>
      </x:c>
    </x:row>
    <x:row r="778" ht="36" customHeight="1">
      <x:c r="A778" s="29" t="str">
        <x:v>Economics</x:v>
      </x:c>
      <x:c r="B778" s="33" t="str">
        <x:v>Finn E. Kydland</x:v>
      </x:c>
      <x:c r="C778" s="35" t="n">
        <x:v>2004</x:v>
      </x:c>
      <x:c r="D778" s="36" t="str">
        <x:v>2004</x:v>
      </x:c>
      <x:c r="E778" s="36" t="str">
        <x:v>Person</x:v>
      </x:c>
      <x:c r="F778" s="37" t="str">
        <x:v>Not established here</x:v>
      </x:c>
      <x:c r="G778" s="33" t="str">
        <x:v>Not included in this affirmative shortlist. This is not a finding of non-genius.</x:v>
      </x:c>
      <x:c r="H778" s="29" t="str">
        <x:v>Economics roster</x:v>
      </x:c>
    </x:row>
    <x:row r="779" ht="36" customHeight="1">
      <x:c r="A779" s="29" t="str">
        <x:v>Economics</x:v>
      </x:c>
      <x:c r="B779" s="33" t="str">
        <x:v>Robert Aumann</x:v>
      </x:c>
      <x:c r="C779" s="35" t="n">
        <x:v>2005</x:v>
      </x:c>
      <x:c r="D779" s="36" t="str">
        <x:v>2005</x:v>
      </x:c>
      <x:c r="E779" s="36" t="str">
        <x:v>Person</x:v>
      </x:c>
      <x:c r="F779" s="37" t="str">
        <x:v>Clear</x:v>
      </x:c>
      <x:c r="G779" s="33" t="str">
        <x:v>Foundational mathematical game theory and common-knowledge reasoning.</x:v>
      </x:c>
      <x:c r="H779" s="29" t="str">
        <x:v>Economics roster</x:v>
      </x:c>
    </x:row>
    <x:row r="780" ht="36" customHeight="1">
      <x:c r="A780" s="29" t="str">
        <x:v>Economics</x:v>
      </x:c>
      <x:c r="B780" s="33" t="str">
        <x:v>Thomas Schelling</x:v>
      </x:c>
      <x:c r="C780" s="35" t="n">
        <x:v>2005</x:v>
      </x:c>
      <x:c r="D780" s="36" t="str">
        <x:v>2005</x:v>
      </x:c>
      <x:c r="E780" s="36" t="str">
        <x:v>Person</x:v>
      </x:c>
      <x:c r="F780" s="37" t="str">
        <x:v>Borderline</x:v>
      </x:c>
      <x:c r="G780" s="33" t="str">
        <x:v>Strong case for exceptional originality, but I am less certain of equivalence to the user's very high benchmark.</x:v>
      </x:c>
      <x:c r="H780" s="29" t="str">
        <x:v>Economics roster</x:v>
      </x:c>
    </x:row>
    <x:row r="781" ht="36" customHeight="1">
      <x:c r="A781" s="29" t="str">
        <x:v>Economics</x:v>
      </x:c>
      <x:c r="B781" s="33" t="str">
        <x:v>Edmund Phelps</x:v>
      </x:c>
      <x:c r="C781" s="35" t="n">
        <x:v>2006</x:v>
      </x:c>
      <x:c r="D781" s="36" t="str">
        <x:v>2006</x:v>
      </x:c>
      <x:c r="E781" s="36" t="str">
        <x:v>Person</x:v>
      </x:c>
      <x:c r="F781" s="37" t="str">
        <x:v>Not established here</x:v>
      </x:c>
      <x:c r="G781" s="33" t="str">
        <x:v>Not included in this affirmative shortlist. This is not a finding of non-genius.</x:v>
      </x:c>
      <x:c r="H781" s="29" t="str">
        <x:v>Economics roster</x:v>
      </x:c>
    </x:row>
    <x:row r="782" ht="36" customHeight="1">
      <x:c r="A782" s="29" t="str">
        <x:v>Economics</x:v>
      </x:c>
      <x:c r="B782" s="33" t="str">
        <x:v>Eric Maskin</x:v>
      </x:c>
      <x:c r="C782" s="35" t="n">
        <x:v>2007</x:v>
      </x:c>
      <x:c r="D782" s="36" t="str">
        <x:v>2007</x:v>
      </x:c>
      <x:c r="E782" s="36" t="str">
        <x:v>Person</x:v>
      </x:c>
      <x:c r="F782" s="37" t="str">
        <x:v>Not established here</x:v>
      </x:c>
      <x:c r="G782" s="33" t="str">
        <x:v>Not included in this affirmative shortlist. This is not a finding of non-genius.</x:v>
      </x:c>
      <x:c r="H782" s="29" t="str">
        <x:v>Economics roster</x:v>
      </x:c>
    </x:row>
    <x:row r="783" ht="36" customHeight="1">
      <x:c r="A783" s="29" t="str">
        <x:v>Economics</x:v>
      </x:c>
      <x:c r="B783" s="33" t="str">
        <x:v>Leonid Hurwicz</x:v>
      </x:c>
      <x:c r="C783" s="35" t="n">
        <x:v>2007</x:v>
      </x:c>
      <x:c r="D783" s="36" t="str">
        <x:v>2007</x:v>
      </x:c>
      <x:c r="E783" s="36" t="str">
        <x:v>Person</x:v>
      </x:c>
      <x:c r="F783" s="37" t="str">
        <x:v>Borderline</x:v>
      </x:c>
      <x:c r="G783" s="33" t="str">
        <x:v>Strong case for exceptional originality, but I am less certain of equivalence to the user's very high benchmark.</x:v>
      </x:c>
      <x:c r="H783" s="29" t="str">
        <x:v>Economics roster</x:v>
      </x:c>
    </x:row>
    <x:row r="784" ht="36" customHeight="1">
      <x:c r="A784" s="29" t="str">
        <x:v>Economics</x:v>
      </x:c>
      <x:c r="B784" s="33" t="str">
        <x:v>Roger Myerson</x:v>
      </x:c>
      <x:c r="C784" s="35" t="n">
        <x:v>2007</x:v>
      </x:c>
      <x:c r="D784" s="36" t="str">
        <x:v>2007</x:v>
      </x:c>
      <x:c r="E784" s="36" t="str">
        <x:v>Person</x:v>
      </x:c>
      <x:c r="F784" s="37" t="str">
        <x:v>Borderline</x:v>
      </x:c>
      <x:c r="G784" s="33" t="str">
        <x:v>Strong case for exceptional originality, but I am less certain of equivalence to the user's very high benchmark.</x:v>
      </x:c>
      <x:c r="H784" s="29" t="str">
        <x:v>Economics roster</x:v>
      </x:c>
    </x:row>
    <x:row r="785" ht="36" customHeight="1">
      <x:c r="A785" s="29" t="str">
        <x:v>Economics</x:v>
      </x:c>
      <x:c r="B785" s="33" t="str">
        <x:v>Paul Krugman</x:v>
      </x:c>
      <x:c r="C785" s="35" t="n">
        <x:v>2008</x:v>
      </x:c>
      <x:c r="D785" s="36" t="str">
        <x:v>2008</x:v>
      </x:c>
      <x:c r="E785" s="36" t="str">
        <x:v>Person</x:v>
      </x:c>
      <x:c r="F785" s="37" t="str">
        <x:v>Borderline</x:v>
      </x:c>
      <x:c r="G785" s="33" t="str">
        <x:v>Strong case for exceptional originality, but I am less certain of equivalence to the user's very high benchmark.</x:v>
      </x:c>
      <x:c r="H785" s="29" t="str">
        <x:v>Economics roster</x:v>
      </x:c>
    </x:row>
    <x:row r="786" ht="36" customHeight="1">
      <x:c r="A786" s="29" t="str">
        <x:v>Economics</x:v>
      </x:c>
      <x:c r="B786" s="33" t="str">
        <x:v>Elinor Ostrom</x:v>
      </x:c>
      <x:c r="C786" s="35" t="n">
        <x:v>2009</x:v>
      </x:c>
      <x:c r="D786" s="36" t="str">
        <x:v>2009</x:v>
      </x:c>
      <x:c r="E786" s="36" t="str">
        <x:v>Person</x:v>
      </x:c>
      <x:c r="F786" s="37" t="str">
        <x:v>Borderline</x:v>
      </x:c>
      <x:c r="G786" s="33" t="str">
        <x:v>Strong case for exceptional originality, but I am less certain of equivalence to the user's very high benchmark.</x:v>
      </x:c>
      <x:c r="H786" s="29" t="str">
        <x:v>Economics roster</x:v>
      </x:c>
    </x:row>
    <x:row r="787" ht="36" customHeight="1">
      <x:c r="A787" s="29" t="str">
        <x:v>Economics</x:v>
      </x:c>
      <x:c r="B787" s="33" t="str">
        <x:v>Oliver E. Williamson</x:v>
      </x:c>
      <x:c r="C787" s="35" t="n">
        <x:v>2009</x:v>
      </x:c>
      <x:c r="D787" s="36" t="str">
        <x:v>2009</x:v>
      </x:c>
      <x:c r="E787" s="36" t="str">
        <x:v>Person</x:v>
      </x:c>
      <x:c r="F787" s="37" t="str">
        <x:v>Not established here</x:v>
      </x:c>
      <x:c r="G787" s="33" t="str">
        <x:v>Not included in this affirmative shortlist. This is not a finding of non-genius.</x:v>
      </x:c>
      <x:c r="H787" s="29" t="str">
        <x:v>Economics roster</x:v>
      </x:c>
    </x:row>
    <x:row r="788" ht="36" customHeight="1">
      <x:c r="A788" s="29" t="str">
        <x:v>Economics</x:v>
      </x:c>
      <x:c r="B788" s="33" t="str">
        <x:v>Christopher A. Pissarides</x:v>
      </x:c>
      <x:c r="C788" s="35" t="n">
        <x:v>2010</x:v>
      </x:c>
      <x:c r="D788" s="36" t="str">
        <x:v>2010</x:v>
      </x:c>
      <x:c r="E788" s="36" t="str">
        <x:v>Person</x:v>
      </x:c>
      <x:c r="F788" s="37" t="str">
        <x:v>Not established here</x:v>
      </x:c>
      <x:c r="G788" s="33" t="str">
        <x:v>Not included in this affirmative shortlist. This is not a finding of non-genius.</x:v>
      </x:c>
      <x:c r="H788" s="29" t="str">
        <x:v>Economics roster</x:v>
      </x:c>
    </x:row>
    <x:row r="789" ht="36" customHeight="1">
      <x:c r="A789" s="29" t="str">
        <x:v>Economics</x:v>
      </x:c>
      <x:c r="B789" s="33" t="str">
        <x:v>Dale T. Mortensen</x:v>
      </x:c>
      <x:c r="C789" s="35" t="n">
        <x:v>2010</x:v>
      </x:c>
      <x:c r="D789" s="36" t="str">
        <x:v>2010</x:v>
      </x:c>
      <x:c r="E789" s="36" t="str">
        <x:v>Person</x:v>
      </x:c>
      <x:c r="F789" s="37" t="str">
        <x:v>Not established here</x:v>
      </x:c>
      <x:c r="G789" s="33" t="str">
        <x:v>Not included in this affirmative shortlist. This is not a finding of non-genius.</x:v>
      </x:c>
      <x:c r="H789" s="29" t="str">
        <x:v>Economics roster</x:v>
      </x:c>
    </x:row>
    <x:row r="790" ht="36" customHeight="1">
      <x:c r="A790" s="29" t="str">
        <x:v>Economics</x:v>
      </x:c>
      <x:c r="B790" s="33" t="str">
        <x:v>Peter Diamond</x:v>
      </x:c>
      <x:c r="C790" s="35" t="n">
        <x:v>2010</x:v>
      </x:c>
      <x:c r="D790" s="36" t="str">
        <x:v>2010</x:v>
      </x:c>
      <x:c r="E790" s="36" t="str">
        <x:v>Person</x:v>
      </x:c>
      <x:c r="F790" s="37" t="str">
        <x:v>Not established here</x:v>
      </x:c>
      <x:c r="G790" s="33" t="str">
        <x:v>Not included in this affirmative shortlist. This is not a finding of non-genius.</x:v>
      </x:c>
      <x:c r="H790" s="29" t="str">
        <x:v>Economics roster</x:v>
      </x:c>
    </x:row>
    <x:row r="791" ht="36" customHeight="1">
      <x:c r="A791" s="29" t="str">
        <x:v>Economics</x:v>
      </x:c>
      <x:c r="B791" s="33" t="str">
        <x:v>Christopher A. Sims</x:v>
      </x:c>
      <x:c r="C791" s="35" t="n">
        <x:v>2011</x:v>
      </x:c>
      <x:c r="D791" s="36" t="str">
        <x:v>2011</x:v>
      </x:c>
      <x:c r="E791" s="36" t="str">
        <x:v>Person</x:v>
      </x:c>
      <x:c r="F791" s="37" t="str">
        <x:v>Not established here</x:v>
      </x:c>
      <x:c r="G791" s="33" t="str">
        <x:v>Not included in this affirmative shortlist. This is not a finding of non-genius.</x:v>
      </x:c>
      <x:c r="H791" s="29" t="str">
        <x:v>Economics roster</x:v>
      </x:c>
    </x:row>
    <x:row r="792" ht="36" customHeight="1">
      <x:c r="A792" s="29" t="str">
        <x:v>Economics</x:v>
      </x:c>
      <x:c r="B792" s="33" t="str">
        <x:v>Thomas J. Sargent</x:v>
      </x:c>
      <x:c r="C792" s="35" t="n">
        <x:v>2011</x:v>
      </x:c>
      <x:c r="D792" s="36" t="str">
        <x:v>2011</x:v>
      </x:c>
      <x:c r="E792" s="36" t="str">
        <x:v>Person</x:v>
      </x:c>
      <x:c r="F792" s="37" t="str">
        <x:v>Not established here</x:v>
      </x:c>
      <x:c r="G792" s="33" t="str">
        <x:v>Not included in this affirmative shortlist. This is not a finding of non-genius.</x:v>
      </x:c>
      <x:c r="H792" s="29" t="str">
        <x:v>Economics roster</x:v>
      </x:c>
    </x:row>
    <x:row r="793" ht="36" customHeight="1">
      <x:c r="A793" s="29" t="str">
        <x:v>Economics</x:v>
      </x:c>
      <x:c r="B793" s="33" t="str">
        <x:v>Alvin E. Roth</x:v>
      </x:c>
      <x:c r="C793" s="35" t="n">
        <x:v>2012</x:v>
      </x:c>
      <x:c r="D793" s="36" t="str">
        <x:v>2012</x:v>
      </x:c>
      <x:c r="E793" s="36" t="str">
        <x:v>Person</x:v>
      </x:c>
      <x:c r="F793" s="37" t="str">
        <x:v>Not established here</x:v>
      </x:c>
      <x:c r="G793" s="33" t="str">
        <x:v>Not included in this affirmative shortlist. This is not a finding of non-genius.</x:v>
      </x:c>
      <x:c r="H793" s="29" t="str">
        <x:v>Economics roster</x:v>
      </x:c>
    </x:row>
    <x:row r="794" ht="36" customHeight="1">
      <x:c r="A794" s="29" t="str">
        <x:v>Economics</x:v>
      </x:c>
      <x:c r="B794" s="33" t="str">
        <x:v>Lloyd Shapley</x:v>
      </x:c>
      <x:c r="C794" s="35" t="n">
        <x:v>2012</x:v>
      </x:c>
      <x:c r="D794" s="36" t="str">
        <x:v>2012</x:v>
      </x:c>
      <x:c r="E794" s="36" t="str">
        <x:v>Person</x:v>
      </x:c>
      <x:c r="F794" s="37" t="str">
        <x:v>Clear</x:v>
      </x:c>
      <x:c r="G794" s="33" t="str">
        <x:v>Exceptionally original mathematical game theory and matching.</x:v>
      </x:c>
      <x:c r="H794" s="29" t="str">
        <x:v>Economics roster</x:v>
      </x:c>
    </x:row>
    <x:row r="795" ht="36" customHeight="1">
      <x:c r="A795" s="29" t="str">
        <x:v>Economics</x:v>
      </x:c>
      <x:c r="B795" s="33" t="str">
        <x:v>Eugene Fama</x:v>
      </x:c>
      <x:c r="C795" s="35" t="n">
        <x:v>2013</x:v>
      </x:c>
      <x:c r="D795" s="36" t="str">
        <x:v>2013</x:v>
      </x:c>
      <x:c r="E795" s="36" t="str">
        <x:v>Person</x:v>
      </x:c>
      <x:c r="F795" s="37" t="str">
        <x:v>Borderline</x:v>
      </x:c>
      <x:c r="G795" s="33" t="str">
        <x:v>Strong case for exceptional originality, but I am less certain of equivalence to the user's very high benchmark.</x:v>
      </x:c>
      <x:c r="H795" s="29" t="str">
        <x:v>Economics roster</x:v>
      </x:c>
    </x:row>
    <x:row r="796" ht="36" customHeight="1">
      <x:c r="A796" s="29" t="str">
        <x:v>Economics</x:v>
      </x:c>
      <x:c r="B796" s="33" t="str">
        <x:v>Lars Peter Hansen</x:v>
      </x:c>
      <x:c r="C796" s="35" t="n">
        <x:v>2013</x:v>
      </x:c>
      <x:c r="D796" s="36" t="str">
        <x:v>2013</x:v>
      </x:c>
      <x:c r="E796" s="36" t="str">
        <x:v>Person</x:v>
      </x:c>
      <x:c r="F796" s="37" t="str">
        <x:v>Borderline</x:v>
      </x:c>
      <x:c r="G796" s="33" t="str">
        <x:v>Strong case for exceptional originality, but I am less certain of equivalence to the user's very high benchmark.</x:v>
      </x:c>
      <x:c r="H796" s="29" t="str">
        <x:v>Economics roster</x:v>
      </x:c>
    </x:row>
    <x:row r="797" ht="36" customHeight="1">
      <x:c r="A797" s="29" t="str">
        <x:v>Economics</x:v>
      </x:c>
      <x:c r="B797" s="33" t="str">
        <x:v>Robert J. Shiller</x:v>
      </x:c>
      <x:c r="C797" s="35" t="n">
        <x:v>2013</x:v>
      </x:c>
      <x:c r="D797" s="36" t="str">
        <x:v>2013</x:v>
      </x:c>
      <x:c r="E797" s="36" t="str">
        <x:v>Person</x:v>
      </x:c>
      <x:c r="F797" s="37" t="str">
        <x:v>Not established here</x:v>
      </x:c>
      <x:c r="G797" s="33" t="str">
        <x:v>Not included in this affirmative shortlist. This is not a finding of non-genius.</x:v>
      </x:c>
      <x:c r="H797" s="29" t="str">
        <x:v>Economics roster</x:v>
      </x:c>
    </x:row>
    <x:row r="798" ht="36" customHeight="1">
      <x:c r="A798" s="29" t="str">
        <x:v>Economics</x:v>
      </x:c>
      <x:c r="B798" s="33" t="str">
        <x:v>Jean Tirole</x:v>
      </x:c>
      <x:c r="C798" s="35" t="n">
        <x:v>2014</x:v>
      </x:c>
      <x:c r="D798" s="36" t="str">
        <x:v>2014</x:v>
      </x:c>
      <x:c r="E798" s="36" t="str">
        <x:v>Person</x:v>
      </x:c>
      <x:c r="F798" s="37" t="str">
        <x:v>Borderline</x:v>
      </x:c>
      <x:c r="G798" s="33" t="str">
        <x:v>Strong case for exceptional originality, but I am less certain of equivalence to the user's very high benchmark.</x:v>
      </x:c>
      <x:c r="H798" s="29" t="str">
        <x:v>Economics roster</x:v>
      </x:c>
    </x:row>
    <x:row r="799" ht="36" customHeight="1">
      <x:c r="A799" s="29" t="str">
        <x:v>Economics</x:v>
      </x:c>
      <x:c r="B799" s="33" t="str">
        <x:v>Angus Deaton</x:v>
      </x:c>
      <x:c r="C799" s="35" t="n">
        <x:v>2015</x:v>
      </x:c>
      <x:c r="D799" s="36" t="str">
        <x:v>2015</x:v>
      </x:c>
      <x:c r="E799" s="36" t="str">
        <x:v>Person</x:v>
      </x:c>
      <x:c r="F799" s="37" t="str">
        <x:v>Not established here</x:v>
      </x:c>
      <x:c r="G799" s="33" t="str">
        <x:v>Not included in this affirmative shortlist. This is not a finding of non-genius.</x:v>
      </x:c>
      <x:c r="H799" s="29" t="str">
        <x:v>Economics roster</x:v>
      </x:c>
    </x:row>
    <x:row r="800" ht="36" customHeight="1">
      <x:c r="A800" s="29" t="str">
        <x:v>Economics</x:v>
      </x:c>
      <x:c r="B800" s="33" t="str">
        <x:v>Bengt R. Holmström</x:v>
      </x:c>
      <x:c r="C800" s="35" t="n">
        <x:v>2016</x:v>
      </x:c>
      <x:c r="D800" s="36" t="str">
        <x:v>2016</x:v>
      </x:c>
      <x:c r="E800" s="36" t="str">
        <x:v>Person</x:v>
      </x:c>
      <x:c r="F800" s="37" t="str">
        <x:v>Not established here</x:v>
      </x:c>
      <x:c r="G800" s="33" t="str">
        <x:v>Not included in this affirmative shortlist. This is not a finding of non-genius.</x:v>
      </x:c>
      <x:c r="H800" s="29" t="str">
        <x:v>Economics roster</x:v>
      </x:c>
    </x:row>
    <x:row r="801" ht="36" customHeight="1">
      <x:c r="A801" s="29" t="str">
        <x:v>Economics</x:v>
      </x:c>
      <x:c r="B801" s="33" t="str">
        <x:v>Oliver Hart</x:v>
      </x:c>
      <x:c r="C801" s="35" t="n">
        <x:v>2016</x:v>
      </x:c>
      <x:c r="D801" s="36" t="str">
        <x:v>2016</x:v>
      </x:c>
      <x:c r="E801" s="36" t="str">
        <x:v>Person</x:v>
      </x:c>
      <x:c r="F801" s="37" t="str">
        <x:v>Not established here</x:v>
      </x:c>
      <x:c r="G801" s="33" t="str">
        <x:v>Not included in this affirmative shortlist. This is not a finding of non-genius.</x:v>
      </x:c>
      <x:c r="H801" s="29" t="str">
        <x:v>Economics roster</x:v>
      </x:c>
    </x:row>
    <x:row r="802" ht="36" customHeight="1">
      <x:c r="A802" s="29" t="str">
        <x:v>Economics</x:v>
      </x:c>
      <x:c r="B802" s="33" t="str">
        <x:v>Richard Thaler</x:v>
      </x:c>
      <x:c r="C802" s="35" t="n">
        <x:v>2017</x:v>
      </x:c>
      <x:c r="D802" s="36" t="str">
        <x:v>2017</x:v>
      </x:c>
      <x:c r="E802" s="36" t="str">
        <x:v>Person</x:v>
      </x:c>
      <x:c r="F802" s="37" t="str">
        <x:v>Not established here</x:v>
      </x:c>
      <x:c r="G802" s="33" t="str">
        <x:v>Not included in this affirmative shortlist. This is not a finding of non-genius.</x:v>
      </x:c>
      <x:c r="H802" s="29" t="str">
        <x:v>Economics roster</x:v>
      </x:c>
    </x:row>
    <x:row r="803" ht="36" customHeight="1">
      <x:c r="A803" s="29" t="str">
        <x:v>Economics</x:v>
      </x:c>
      <x:c r="B803" s="33" t="str">
        <x:v>Paul Romer</x:v>
      </x:c>
      <x:c r="C803" s="35" t="n">
        <x:v>2018</x:v>
      </x:c>
      <x:c r="D803" s="36" t="str">
        <x:v>2018</x:v>
      </x:c>
      <x:c r="E803" s="36" t="str">
        <x:v>Person</x:v>
      </x:c>
      <x:c r="F803" s="37" t="str">
        <x:v>Borderline</x:v>
      </x:c>
      <x:c r="G803" s="33" t="str">
        <x:v>Strong case for exceptional originality, but I am less certain of equivalence to the user's very high benchmark.</x:v>
      </x:c>
      <x:c r="H803" s="29" t="str">
        <x:v>Economics roster</x:v>
      </x:c>
    </x:row>
    <x:row r="804" ht="36" customHeight="1">
      <x:c r="A804" s="29" t="str">
        <x:v>Economics</x:v>
      </x:c>
      <x:c r="B804" s="33" t="str">
        <x:v>William Nordhaus</x:v>
      </x:c>
      <x:c r="C804" s="35" t="n">
        <x:v>2018</x:v>
      </x:c>
      <x:c r="D804" s="36" t="str">
        <x:v>2018</x:v>
      </x:c>
      <x:c r="E804" s="36" t="str">
        <x:v>Person</x:v>
      </x:c>
      <x:c r="F804" s="37" t="str">
        <x:v>Not established here</x:v>
      </x:c>
      <x:c r="G804" s="33" t="str">
        <x:v>Not included in this affirmative shortlist. This is not a finding of non-genius.</x:v>
      </x:c>
      <x:c r="H804" s="29" t="str">
        <x:v>Economics roster</x:v>
      </x:c>
    </x:row>
    <x:row r="805" ht="36" customHeight="1">
      <x:c r="A805" s="29" t="str">
        <x:v>Economics</x:v>
      </x:c>
      <x:c r="B805" s="33" t="str">
        <x:v>Abhijit Banerjee</x:v>
      </x:c>
      <x:c r="C805" s="35" t="n">
        <x:v>2019</x:v>
      </x:c>
      <x:c r="D805" s="36" t="str">
        <x:v>2019</x:v>
      </x:c>
      <x:c r="E805" s="36" t="str">
        <x:v>Person</x:v>
      </x:c>
      <x:c r="F805" s="37" t="str">
        <x:v>Not established here</x:v>
      </x:c>
      <x:c r="G805" s="33" t="str">
        <x:v>Not included in this affirmative shortlist. This is not a finding of non-genius.</x:v>
      </x:c>
      <x:c r="H805" s="29" t="str">
        <x:v>Economics roster</x:v>
      </x:c>
    </x:row>
    <x:row r="806" ht="36" customHeight="1">
      <x:c r="A806" s="29" t="str">
        <x:v>Economics</x:v>
      </x:c>
      <x:c r="B806" s="33" t="str">
        <x:v>Esther Duflo</x:v>
      </x:c>
      <x:c r="C806" s="35" t="n">
        <x:v>2019</x:v>
      </x:c>
      <x:c r="D806" s="36" t="str">
        <x:v>2019</x:v>
      </x:c>
      <x:c r="E806" s="36" t="str">
        <x:v>Person</x:v>
      </x:c>
      <x:c r="F806" s="37" t="str">
        <x:v>Not established here</x:v>
      </x:c>
      <x:c r="G806" s="33" t="str">
        <x:v>Not included in this affirmative shortlist. This is not a finding of non-genius.</x:v>
      </x:c>
      <x:c r="H806" s="29" t="str">
        <x:v>Economics roster</x:v>
      </x:c>
    </x:row>
    <x:row r="807" ht="36" customHeight="1">
      <x:c r="A807" s="29" t="str">
        <x:v>Economics</x:v>
      </x:c>
      <x:c r="B807" s="33" t="str">
        <x:v>Michael Kremer</x:v>
      </x:c>
      <x:c r="C807" s="35" t="n">
        <x:v>2019</x:v>
      </x:c>
      <x:c r="D807" s="36" t="str">
        <x:v>2019</x:v>
      </x:c>
      <x:c r="E807" s="36" t="str">
        <x:v>Person</x:v>
      </x:c>
      <x:c r="F807" s="37" t="str">
        <x:v>Not established here</x:v>
      </x:c>
      <x:c r="G807" s="33" t="str">
        <x:v>Not included in this affirmative shortlist. This is not a finding of non-genius.</x:v>
      </x:c>
      <x:c r="H807" s="29" t="str">
        <x:v>Economics roster</x:v>
      </x:c>
    </x:row>
    <x:row r="808" ht="36" customHeight="1">
      <x:c r="A808" s="29" t="str">
        <x:v>Economics</x:v>
      </x:c>
      <x:c r="B808" s="33" t="str">
        <x:v>Paul Milgrom</x:v>
      </x:c>
      <x:c r="C808" s="35" t="n">
        <x:v>2020</x:v>
      </x:c>
      <x:c r="D808" s="36" t="str">
        <x:v>2020</x:v>
      </x:c>
      <x:c r="E808" s="36" t="str">
        <x:v>Person</x:v>
      </x:c>
      <x:c r="F808" s="37" t="str">
        <x:v>Borderline</x:v>
      </x:c>
      <x:c r="G808" s="33" t="str">
        <x:v>Strong case for exceptional originality, but I am less certain of equivalence to the user's very high benchmark.</x:v>
      </x:c>
      <x:c r="H808" s="29" t="str">
        <x:v>Economics roster</x:v>
      </x:c>
    </x:row>
    <x:row r="809" ht="36" customHeight="1">
      <x:c r="A809" s="29" t="str">
        <x:v>Economics</x:v>
      </x:c>
      <x:c r="B809" s="33" t="str">
        <x:v>Robert B. Wilson</x:v>
      </x:c>
      <x:c r="C809" s="35" t="n">
        <x:v>2020</x:v>
      </x:c>
      <x:c r="D809" s="36" t="str">
        <x:v>2020</x:v>
      </x:c>
      <x:c r="E809" s="36" t="str">
        <x:v>Person</x:v>
      </x:c>
      <x:c r="F809" s="37" t="str">
        <x:v>Not established here</x:v>
      </x:c>
      <x:c r="G809" s="33" t="str">
        <x:v>Not included in this affirmative shortlist. This is not a finding of non-genius.</x:v>
      </x:c>
      <x:c r="H809" s="29" t="str">
        <x:v>Economics roster</x:v>
      </x:c>
    </x:row>
    <x:row r="810" ht="36" customHeight="1">
      <x:c r="A810" s="29" t="str">
        <x:v>Economics</x:v>
      </x:c>
      <x:c r="B810" s="33" t="str">
        <x:v>David Card</x:v>
      </x:c>
      <x:c r="C810" s="35" t="n">
        <x:v>2021</x:v>
      </x:c>
      <x:c r="D810" s="36" t="str">
        <x:v>2021</x:v>
      </x:c>
      <x:c r="E810" s="36" t="str">
        <x:v>Person</x:v>
      </x:c>
      <x:c r="F810" s="37" t="str">
        <x:v>Not established here</x:v>
      </x:c>
      <x:c r="G810" s="33" t="str">
        <x:v>Not included in this affirmative shortlist. This is not a finding of non-genius.</x:v>
      </x:c>
      <x:c r="H810" s="29" t="str">
        <x:v>Economics roster</x:v>
      </x:c>
    </x:row>
    <x:row r="811" ht="36" customHeight="1">
      <x:c r="A811" s="29" t="str">
        <x:v>Economics</x:v>
      </x:c>
      <x:c r="B811" s="33" t="str">
        <x:v>Guido Imbens</x:v>
      </x:c>
      <x:c r="C811" s="35" t="n">
        <x:v>2021</x:v>
      </x:c>
      <x:c r="D811" s="36" t="str">
        <x:v>2021</x:v>
      </x:c>
      <x:c r="E811" s="36" t="str">
        <x:v>Person</x:v>
      </x:c>
      <x:c r="F811" s="37" t="str">
        <x:v>Not established here</x:v>
      </x:c>
      <x:c r="G811" s="33" t="str">
        <x:v>Not included in this affirmative shortlist. This is not a finding of non-genius.</x:v>
      </x:c>
      <x:c r="H811" s="29" t="str">
        <x:v>Economics roster</x:v>
      </x:c>
    </x:row>
    <x:row r="812" ht="36" customHeight="1">
      <x:c r="A812" s="29" t="str">
        <x:v>Economics</x:v>
      </x:c>
      <x:c r="B812" s="33" t="str">
        <x:v>Joshua Angrist</x:v>
      </x:c>
      <x:c r="C812" s="35" t="n">
        <x:v>2021</x:v>
      </x:c>
      <x:c r="D812" s="36" t="str">
        <x:v>2021</x:v>
      </x:c>
      <x:c r="E812" s="36" t="str">
        <x:v>Person</x:v>
      </x:c>
      <x:c r="F812" s="37" t="str">
        <x:v>Not established here</x:v>
      </x:c>
      <x:c r="G812" s="33" t="str">
        <x:v>Not included in this affirmative shortlist. This is not a finding of non-genius.</x:v>
      </x:c>
      <x:c r="H812" s="29" t="str">
        <x:v>Economics roster</x:v>
      </x:c>
    </x:row>
    <x:row r="813" ht="36" customHeight="1">
      <x:c r="A813" s="29" t="str">
        <x:v>Economics</x:v>
      </x:c>
      <x:c r="B813" s="33" t="str">
        <x:v>Ben Bernanke</x:v>
      </x:c>
      <x:c r="C813" s="35" t="n">
        <x:v>2022</x:v>
      </x:c>
      <x:c r="D813" s="36" t="str">
        <x:v>2022</x:v>
      </x:c>
      <x:c r="E813" s="36" t="str">
        <x:v>Person</x:v>
      </x:c>
      <x:c r="F813" s="37" t="str">
        <x:v>Not established here</x:v>
      </x:c>
      <x:c r="G813" s="33" t="str">
        <x:v>Not included in this affirmative shortlist. This is not a finding of non-genius.</x:v>
      </x:c>
      <x:c r="H813" s="29" t="str">
        <x:v>Economics roster</x:v>
      </x:c>
    </x:row>
    <x:row r="814" ht="36" customHeight="1">
      <x:c r="A814" s="29" t="str">
        <x:v>Economics</x:v>
      </x:c>
      <x:c r="B814" s="33" t="str">
        <x:v>Douglas Diamond</x:v>
      </x:c>
      <x:c r="C814" s="35" t="n">
        <x:v>2022</x:v>
      </x:c>
      <x:c r="D814" s="36" t="str">
        <x:v>2022</x:v>
      </x:c>
      <x:c r="E814" s="36" t="str">
        <x:v>Person</x:v>
      </x:c>
      <x:c r="F814" s="37" t="str">
        <x:v>Not established here</x:v>
      </x:c>
      <x:c r="G814" s="33" t="str">
        <x:v>Not included in this affirmative shortlist. This is not a finding of non-genius.</x:v>
      </x:c>
      <x:c r="H814" s="29" t="str">
        <x:v>Economics roster</x:v>
      </x:c>
    </x:row>
    <x:row r="815" ht="36" customHeight="1">
      <x:c r="A815" s="29" t="str">
        <x:v>Economics</x:v>
      </x:c>
      <x:c r="B815" s="33" t="str">
        <x:v>Philip H. Dybvig</x:v>
      </x:c>
      <x:c r="C815" s="35" t="n">
        <x:v>2022</x:v>
      </x:c>
      <x:c r="D815" s="36" t="str">
        <x:v>2022</x:v>
      </x:c>
      <x:c r="E815" s="36" t="str">
        <x:v>Person</x:v>
      </x:c>
      <x:c r="F815" s="37" t="str">
        <x:v>Not established here</x:v>
      </x:c>
      <x:c r="G815" s="33" t="str">
        <x:v>Not included in this affirmative shortlist. This is not a finding of non-genius.</x:v>
      </x:c>
      <x:c r="H815" s="29" t="str">
        <x:v>Economics roster</x:v>
      </x:c>
    </x:row>
    <x:row r="816" ht="36" customHeight="1">
      <x:c r="A816" s="29" t="str">
        <x:v>Economics</x:v>
      </x:c>
      <x:c r="B816" s="33" t="str">
        <x:v>Claudia Goldin</x:v>
      </x:c>
      <x:c r="C816" s="35" t="n">
        <x:v>2023</x:v>
      </x:c>
      <x:c r="D816" s="36" t="str">
        <x:v>2023</x:v>
      </x:c>
      <x:c r="E816" s="36" t="str">
        <x:v>Person</x:v>
      </x:c>
      <x:c r="F816" s="37" t="str">
        <x:v>Not established here</x:v>
      </x:c>
      <x:c r="G816" s="33" t="str">
        <x:v>Not included in this affirmative shortlist. This is not a finding of non-genius.</x:v>
      </x:c>
      <x:c r="H816" s="29" t="str">
        <x:v>Economics roster</x:v>
      </x:c>
    </x:row>
    <x:row r="817" ht="36" customHeight="1">
      <x:c r="A817" s="29" t="str">
        <x:v>Economics</x:v>
      </x:c>
      <x:c r="B817" s="33" t="str">
        <x:v>Daron Acemoglu</x:v>
      </x:c>
      <x:c r="C817" s="35" t="n">
        <x:v>2024</x:v>
      </x:c>
      <x:c r="D817" s="36" t="str">
        <x:v>2024</x:v>
      </x:c>
      <x:c r="E817" s="36" t="str">
        <x:v>Person</x:v>
      </x:c>
      <x:c r="F817" s="37" t="str">
        <x:v>Not established here</x:v>
      </x:c>
      <x:c r="G817" s="33" t="str">
        <x:v>Not included in this affirmative shortlist. This is not a finding of non-genius.</x:v>
      </x:c>
      <x:c r="H817" s="29" t="str">
        <x:v>Economics roster</x:v>
      </x:c>
    </x:row>
    <x:row r="818" ht="36" customHeight="1">
      <x:c r="A818" s="29" t="str">
        <x:v>Economics</x:v>
      </x:c>
      <x:c r="B818" s="33" t="str">
        <x:v>James A. Robinson</x:v>
      </x:c>
      <x:c r="C818" s="35" t="n">
        <x:v>2024</x:v>
      </x:c>
      <x:c r="D818" s="36" t="str">
        <x:v>2024</x:v>
      </x:c>
      <x:c r="E818" s="36" t="str">
        <x:v>Person</x:v>
      </x:c>
      <x:c r="F818" s="37" t="str">
        <x:v>Not established here</x:v>
      </x:c>
      <x:c r="G818" s="33" t="str">
        <x:v>Not included in this affirmative shortlist. This is not a finding of non-genius.</x:v>
      </x:c>
      <x:c r="H818" s="29" t="str">
        <x:v>Economics roster</x:v>
      </x:c>
    </x:row>
    <x:row r="819" ht="36" customHeight="1">
      <x:c r="A819" s="29" t="str">
        <x:v>Economics</x:v>
      </x:c>
      <x:c r="B819" s="33" t="str">
        <x:v>Simon Johnson</x:v>
      </x:c>
      <x:c r="C819" s="35" t="n">
        <x:v>2024</x:v>
      </x:c>
      <x:c r="D819" s="36" t="str">
        <x:v>2024</x:v>
      </x:c>
      <x:c r="E819" s="36" t="str">
        <x:v>Person</x:v>
      </x:c>
      <x:c r="F819" s="37" t="str">
        <x:v>Not established here</x:v>
      </x:c>
      <x:c r="G819" s="33" t="str">
        <x:v>Not included in this affirmative shortlist. This is not a finding of non-genius.</x:v>
      </x:c>
      <x:c r="H819" s="29" t="str">
        <x:v>Economics roster</x:v>
      </x:c>
    </x:row>
    <x:row r="820" ht="36" customHeight="1">
      <x:c r="A820" s="29" t="str">
        <x:v>Economics</x:v>
      </x:c>
      <x:c r="B820" s="33" t="str">
        <x:v>Joel Mokyr</x:v>
      </x:c>
      <x:c r="C820" s="35" t="n">
        <x:v>2025</x:v>
      </x:c>
      <x:c r="D820" s="36" t="str">
        <x:v>2025</x:v>
      </x:c>
      <x:c r="E820" s="36" t="str">
        <x:v>Person</x:v>
      </x:c>
      <x:c r="F820" s="37" t="str">
        <x:v>Not established here</x:v>
      </x:c>
      <x:c r="G820" s="33" t="str">
        <x:v>Not included in this affirmative shortlist. This is not a finding of non-genius.</x:v>
      </x:c>
      <x:c r="H820" s="29" t="str">
        <x:v>Economics roster</x:v>
      </x:c>
    </x:row>
    <x:row r="821" ht="36" customHeight="1">
      <x:c r="A821" s="29" t="str">
        <x:v>Economics</x:v>
      </x:c>
      <x:c r="B821" s="33" t="str">
        <x:v>Peter Howitt</x:v>
      </x:c>
      <x:c r="C821" s="35" t="n">
        <x:v>2025</x:v>
      </x:c>
      <x:c r="D821" s="36" t="str">
        <x:v>2025</x:v>
      </x:c>
      <x:c r="E821" s="36" t="str">
        <x:v>Person</x:v>
      </x:c>
      <x:c r="F821" s="37" t="str">
        <x:v>Not established here</x:v>
      </x:c>
      <x:c r="G821" s="33" t="str">
        <x:v>Not included in this affirmative shortlist. This is not a finding of non-genius.</x:v>
      </x:c>
      <x:c r="H821" s="29" t="str">
        <x:v>Economics roster</x:v>
      </x:c>
    </x:row>
    <x:row r="822" ht="36" customHeight="1">
      <x:c r="A822" s="29" t="str">
        <x:v>Economics</x:v>
      </x:c>
      <x:c r="B822" s="33" t="str">
        <x:v>Philippe Aghion</x:v>
      </x:c>
      <x:c r="C822" s="35" t="n">
        <x:v>2025</x:v>
      </x:c>
      <x:c r="D822" s="36" t="str">
        <x:v>2025</x:v>
      </x:c>
      <x:c r="E822" s="36" t="str">
        <x:v>Person</x:v>
      </x:c>
      <x:c r="F822" s="37" t="str">
        <x:v>Not established here</x:v>
      </x:c>
      <x:c r="G822" s="33" t="str">
        <x:v>Not included in this affirmative shortlist. This is not a finding of non-genius.</x:v>
      </x:c>
      <x:c r="H822" s="29" t="str">
        <x:v>Economics roster</x:v>
      </x:c>
    </x:row>
    <x:row r="823" ht="36" customHeight="1">
      <x:c r="A823" s="29" t="str">
        <x:v>Medicine</x:v>
      </x:c>
      <x:c r="B823" s="33" t="str">
        <x:v>Emil von Behring</x:v>
      </x:c>
      <x:c r="C823" s="35" t="n">
        <x:v>1901</x:v>
      </x:c>
      <x:c r="D823" s="36" t="str">
        <x:v>1901</x:v>
      </x:c>
      <x:c r="E823" s="36" t="str">
        <x:v>Person</x:v>
      </x:c>
      <x:c r="F823" s="37" t="str">
        <x:v>Not established here</x:v>
      </x:c>
      <x:c r="G823" s="33" t="str">
        <x:v>Not included in this affirmative shortlist. This is not a finding of non-genius.</x:v>
      </x:c>
      <x:c r="H823" s="29" t="str">
        <x:v>Medicine roster</x:v>
      </x:c>
    </x:row>
    <x:row r="824" ht="36" customHeight="1">
      <x:c r="A824" s="29" t="str">
        <x:v>Medicine</x:v>
      </x:c>
      <x:c r="B824" s="33" t="str">
        <x:v>Ronald Ross</x:v>
      </x:c>
      <x:c r="C824" s="35" t="n">
        <x:v>1902</x:v>
      </x:c>
      <x:c r="D824" s="36" t="str">
        <x:v>1902</x:v>
      </x:c>
      <x:c r="E824" s="36" t="str">
        <x:v>Person</x:v>
      </x:c>
      <x:c r="F824" s="37" t="str">
        <x:v>Not established here</x:v>
      </x:c>
      <x:c r="G824" s="33" t="str">
        <x:v>Not included in this affirmative shortlist. This is not a finding of non-genius.</x:v>
      </x:c>
      <x:c r="H824" s="29" t="str">
        <x:v>Medicine roster</x:v>
      </x:c>
    </x:row>
    <x:row r="825" ht="36" customHeight="1">
      <x:c r="A825" s="29" t="str">
        <x:v>Medicine</x:v>
      </x:c>
      <x:c r="B825" s="33" t="str">
        <x:v>Niels Ryberg Finsen</x:v>
      </x:c>
      <x:c r="C825" s="35" t="n">
        <x:v>1903</x:v>
      </x:c>
      <x:c r="D825" s="36" t="str">
        <x:v>1903</x:v>
      </x:c>
      <x:c r="E825" s="36" t="str">
        <x:v>Person</x:v>
      </x:c>
      <x:c r="F825" s="37" t="str">
        <x:v>Not established here</x:v>
      </x:c>
      <x:c r="G825" s="33" t="str">
        <x:v>Not included in this affirmative shortlist. This is not a finding of non-genius.</x:v>
      </x:c>
      <x:c r="H825" s="29" t="str">
        <x:v>Medicine roster</x:v>
      </x:c>
    </x:row>
    <x:row r="826" ht="36" customHeight="1">
      <x:c r="A826" s="29" t="str">
        <x:v>Medicine</x:v>
      </x:c>
      <x:c r="B826" s="33" t="str">
        <x:v>Ivan Pavlov</x:v>
      </x:c>
      <x:c r="C826" s="35" t="n">
        <x:v>1904</x:v>
      </x:c>
      <x:c r="D826" s="36" t="str">
        <x:v>1904</x:v>
      </x:c>
      <x:c r="E826" s="36" t="str">
        <x:v>Person</x:v>
      </x:c>
      <x:c r="F826" s="37" t="str">
        <x:v>Clear</x:v>
      </x:c>
      <x:c r="G826" s="33" t="str">
        <x:v>Experimental and conceptual reconstruction of learning and physiology.</x:v>
      </x:c>
      <x:c r="H826" s="29" t="str">
        <x:v>Medicine roster</x:v>
      </x:c>
    </x:row>
    <x:row r="827" ht="36" customHeight="1">
      <x:c r="A827" s="29" t="str">
        <x:v>Medicine</x:v>
      </x:c>
      <x:c r="B827" s="33" t="str">
        <x:v>Robert Koch</x:v>
      </x:c>
      <x:c r="C827" s="35" t="n">
        <x:v>1905</x:v>
      </x:c>
      <x:c r="D827" s="36" t="str">
        <x:v>1905</x:v>
      </x:c>
      <x:c r="E827" s="36" t="str">
        <x:v>Person</x:v>
      </x:c>
      <x:c r="F827" s="37" t="str">
        <x:v>Clear</x:v>
      </x:c>
      <x:c r="G827" s="33" t="str">
        <x:v>Foundational causal and experimental framework for microbiology.</x:v>
      </x:c>
      <x:c r="H827" s="29" t="str">
        <x:v>Medicine roster</x:v>
      </x:c>
    </x:row>
    <x:row r="828" ht="36" customHeight="1">
      <x:c r="A828" s="29" t="str">
        <x:v>Medicine</x:v>
      </x:c>
      <x:c r="B828" s="33" t="str">
        <x:v>Camillo Golgi</x:v>
      </x:c>
      <x:c r="C828" s="35" t="n">
        <x:v>1906</x:v>
      </x:c>
      <x:c r="D828" s="36" t="str">
        <x:v>1906</x:v>
      </x:c>
      <x:c r="E828" s="36" t="str">
        <x:v>Person</x:v>
      </x:c>
      <x:c r="F828" s="37" t="str">
        <x:v>Not established here</x:v>
      </x:c>
      <x:c r="G828" s="33" t="str">
        <x:v>Not included in this affirmative shortlist. This is not a finding of non-genius.</x:v>
      </x:c>
      <x:c r="H828" s="29" t="str">
        <x:v>Medicine roster</x:v>
      </x:c>
    </x:row>
    <x:row r="829" ht="36" customHeight="1">
      <x:c r="A829" s="29" t="str">
        <x:v>Medicine</x:v>
      </x:c>
      <x:c r="B829" s="33" t="str">
        <x:v>Santiago Ramón y Cajal</x:v>
      </x:c>
      <x:c r="C829" s="35" t="n">
        <x:v>1906</x:v>
      </x:c>
      <x:c r="D829" s="36" t="str">
        <x:v>1906</x:v>
      </x:c>
      <x:c r="E829" s="36" t="str">
        <x:v>Person</x:v>
      </x:c>
      <x:c r="F829" s="37" t="str">
        <x:v>Clear</x:v>
      </x:c>
      <x:c r="G829" s="33" t="str">
        <x:v>Neuron doctrine through exceptional interpretive and observational insight.</x:v>
      </x:c>
      <x:c r="H829" s="29" t="str">
        <x:v>Medicine roster</x:v>
      </x:c>
    </x:row>
    <x:row r="830" ht="36" customHeight="1">
      <x:c r="A830" s="29" t="str">
        <x:v>Medicine</x:v>
      </x:c>
      <x:c r="B830" s="33" t="str">
        <x:v>Charles Louis Alphonse Laveran</x:v>
      </x:c>
      <x:c r="C830" s="35" t="n">
        <x:v>1907</x:v>
      </x:c>
      <x:c r="D830" s="36" t="str">
        <x:v>1907</x:v>
      </x:c>
      <x:c r="E830" s="36" t="str">
        <x:v>Person</x:v>
      </x:c>
      <x:c r="F830" s="37" t="str">
        <x:v>Not established here</x:v>
      </x:c>
      <x:c r="G830" s="33" t="str">
        <x:v>Not included in this affirmative shortlist. This is not a finding of non-genius.</x:v>
      </x:c>
      <x:c r="H830" s="29" t="str">
        <x:v>Medicine roster</x:v>
      </x:c>
    </x:row>
    <x:row r="831" ht="36" customHeight="1">
      <x:c r="A831" s="29" t="str">
        <x:v>Medicine</x:v>
      </x:c>
      <x:c r="B831" s="33" t="str">
        <x:v>Élie Metchnikoff</x:v>
      </x:c>
      <x:c r="C831" s="35" t="n">
        <x:v>1908</x:v>
      </x:c>
      <x:c r="D831" s="36" t="str">
        <x:v>1908</x:v>
      </x:c>
      <x:c r="E831" s="36" t="str">
        <x:v>Person</x:v>
      </x:c>
      <x:c r="F831" s="37" t="str">
        <x:v>Borderline</x:v>
      </x:c>
      <x:c r="G831" s="33" t="str">
        <x:v>Strong case for exceptional originality, but I am less certain of equivalence to the user's very high benchmark.</x:v>
      </x:c>
      <x:c r="H831" s="29" t="str">
        <x:v>Medicine roster</x:v>
      </x:c>
    </x:row>
    <x:row r="832" ht="36" customHeight="1">
      <x:c r="A832" s="29" t="str">
        <x:v>Medicine</x:v>
      </x:c>
      <x:c r="B832" s="33" t="str">
        <x:v>Paul Ehrlich</x:v>
      </x:c>
      <x:c r="C832" s="35" t="n">
        <x:v>1908</x:v>
      </x:c>
      <x:c r="D832" s="36" t="str">
        <x:v>1908</x:v>
      </x:c>
      <x:c r="E832" s="36" t="str">
        <x:v>Person</x:v>
      </x:c>
      <x:c r="F832" s="37" t="str">
        <x:v>Clear</x:v>
      </x:c>
      <x:c r="G832" s="33" t="str">
        <x:v>Foundational immunological and therapeutic concepts.</x:v>
      </x:c>
      <x:c r="H832" s="29" t="str">
        <x:v>Medicine roster</x:v>
      </x:c>
    </x:row>
    <x:row r="833" ht="36" customHeight="1">
      <x:c r="A833" s="29" t="str">
        <x:v>Medicine</x:v>
      </x:c>
      <x:c r="B833" s="33" t="str">
        <x:v>Emil Theodor Kocher</x:v>
      </x:c>
      <x:c r="C833" s="35" t="n">
        <x:v>1909</x:v>
      </x:c>
      <x:c r="D833" s="36" t="str">
        <x:v>1909</x:v>
      </x:c>
      <x:c r="E833" s="36" t="str">
        <x:v>Person</x:v>
      </x:c>
      <x:c r="F833" s="37" t="str">
        <x:v>Not established here</x:v>
      </x:c>
      <x:c r="G833" s="33" t="str">
        <x:v>Not included in this affirmative shortlist. This is not a finding of non-genius.</x:v>
      </x:c>
      <x:c r="H833" s="29" t="str">
        <x:v>Medicine roster</x:v>
      </x:c>
    </x:row>
    <x:row r="834" ht="36" customHeight="1">
      <x:c r="A834" s="29" t="str">
        <x:v>Medicine</x:v>
      </x:c>
      <x:c r="B834" s="33" t="str">
        <x:v>Albrecht Kossel</x:v>
      </x:c>
      <x:c r="C834" s="35" t="n">
        <x:v>1910</x:v>
      </x:c>
      <x:c r="D834" s="36" t="str">
        <x:v>1910</x:v>
      </x:c>
      <x:c r="E834" s="36" t="str">
        <x:v>Person</x:v>
      </x:c>
      <x:c r="F834" s="37" t="str">
        <x:v>Not established here</x:v>
      </x:c>
      <x:c r="G834" s="33" t="str">
        <x:v>Not included in this affirmative shortlist. This is not a finding of non-genius.</x:v>
      </x:c>
      <x:c r="H834" s="29" t="str">
        <x:v>Medicine roster</x:v>
      </x:c>
    </x:row>
    <x:row r="835" ht="36" customHeight="1">
      <x:c r="A835" s="29" t="str">
        <x:v>Medicine</x:v>
      </x:c>
      <x:c r="B835" s="33" t="str">
        <x:v>Allvar Gullstrand</x:v>
      </x:c>
      <x:c r="C835" s="35" t="n">
        <x:v>1911</x:v>
      </x:c>
      <x:c r="D835" s="36" t="str">
        <x:v>1911</x:v>
      </x:c>
      <x:c r="E835" s="36" t="str">
        <x:v>Person</x:v>
      </x:c>
      <x:c r="F835" s="37" t="str">
        <x:v>Not established here</x:v>
      </x:c>
      <x:c r="G835" s="33" t="str">
        <x:v>Not included in this affirmative shortlist. This is not a finding of non-genius.</x:v>
      </x:c>
      <x:c r="H835" s="29" t="str">
        <x:v>Medicine roster</x:v>
      </x:c>
    </x:row>
    <x:row r="836" ht="36" customHeight="1">
      <x:c r="A836" s="29" t="str">
        <x:v>Medicine</x:v>
      </x:c>
      <x:c r="B836" s="33" t="str">
        <x:v>Alexis Carrel</x:v>
      </x:c>
      <x:c r="C836" s="35" t="n">
        <x:v>1912</x:v>
      </x:c>
      <x:c r="D836" s="36" t="str">
        <x:v>1912</x:v>
      </x:c>
      <x:c r="E836" s="36" t="str">
        <x:v>Person</x:v>
      </x:c>
      <x:c r="F836" s="37" t="str">
        <x:v>Not established here</x:v>
      </x:c>
      <x:c r="G836" s="33" t="str">
        <x:v>Not included in this affirmative shortlist. This is not a finding of non-genius.</x:v>
      </x:c>
      <x:c r="H836" s="29" t="str">
        <x:v>Medicine roster</x:v>
      </x:c>
    </x:row>
    <x:row r="837" ht="36" customHeight="1">
      <x:c r="A837" s="29" t="str">
        <x:v>Medicine</x:v>
      </x:c>
      <x:c r="B837" s="33" t="str">
        <x:v>Charles Richet</x:v>
      </x:c>
      <x:c r="C837" s="35" t="n">
        <x:v>1913</x:v>
      </x:c>
      <x:c r="D837" s="36" t="str">
        <x:v>1913</x:v>
      </x:c>
      <x:c r="E837" s="36" t="str">
        <x:v>Person</x:v>
      </x:c>
      <x:c r="F837" s="37" t="str">
        <x:v>Not established here</x:v>
      </x:c>
      <x:c r="G837" s="33" t="str">
        <x:v>Not included in this affirmative shortlist. This is not a finding of non-genius.</x:v>
      </x:c>
      <x:c r="H837" s="29" t="str">
        <x:v>Medicine roster</x:v>
      </x:c>
    </x:row>
    <x:row r="838" ht="36" customHeight="1">
      <x:c r="A838" s="29" t="str">
        <x:v>Medicine</x:v>
      </x:c>
      <x:c r="B838" s="33" t="str">
        <x:v>Robert Bárány</x:v>
      </x:c>
      <x:c r="C838" s="35" t="n">
        <x:v>1914</x:v>
      </x:c>
      <x:c r="D838" s="36" t="str">
        <x:v>1914</x:v>
      </x:c>
      <x:c r="E838" s="36" t="str">
        <x:v>Person</x:v>
      </x:c>
      <x:c r="F838" s="37" t="str">
        <x:v>Not established here</x:v>
      </x:c>
      <x:c r="G838" s="33" t="str">
        <x:v>Not included in this affirmative shortlist. This is not a finding of non-genius.</x:v>
      </x:c>
      <x:c r="H838" s="29" t="str">
        <x:v>Medicine roster</x:v>
      </x:c>
    </x:row>
    <x:row r="839" ht="36" customHeight="1">
      <x:c r="A839" s="29" t="str">
        <x:v>Medicine</x:v>
      </x:c>
      <x:c r="B839" s="33" t="str">
        <x:v>Jules Bordet</x:v>
      </x:c>
      <x:c r="C839" s="35" t="n">
        <x:v>1919</x:v>
      </x:c>
      <x:c r="D839" s="36" t="str">
        <x:v>1919</x:v>
      </x:c>
      <x:c r="E839" s="36" t="str">
        <x:v>Person</x:v>
      </x:c>
      <x:c r="F839" s="37" t="str">
        <x:v>Not established here</x:v>
      </x:c>
      <x:c r="G839" s="33" t="str">
        <x:v>Not included in this affirmative shortlist. This is not a finding of non-genius.</x:v>
      </x:c>
      <x:c r="H839" s="29" t="str">
        <x:v>Medicine roster</x:v>
      </x:c>
    </x:row>
    <x:row r="840" ht="36" customHeight="1">
      <x:c r="A840" s="29" t="str">
        <x:v>Medicine</x:v>
      </x:c>
      <x:c r="B840" s="33" t="str">
        <x:v>August Krogh</x:v>
      </x:c>
      <x:c r="C840" s="35" t="n">
        <x:v>1920</x:v>
      </x:c>
      <x:c r="D840" s="36" t="str">
        <x:v>1920</x:v>
      </x:c>
      <x:c r="E840" s="36" t="str">
        <x:v>Person</x:v>
      </x:c>
      <x:c r="F840" s="37" t="str">
        <x:v>Not established here</x:v>
      </x:c>
      <x:c r="G840" s="33" t="str">
        <x:v>Not included in this affirmative shortlist. This is not a finding of non-genius.</x:v>
      </x:c>
      <x:c r="H840" s="29" t="str">
        <x:v>Medicine roster</x:v>
      </x:c>
    </x:row>
    <x:row r="841" ht="36" customHeight="1">
      <x:c r="A841" s="29" t="str">
        <x:v>Medicine</x:v>
      </x:c>
      <x:c r="B841" s="33" t="str">
        <x:v>Archibald Hill</x:v>
      </x:c>
      <x:c r="C841" s="35" t="n">
        <x:v>1922</x:v>
      </x:c>
      <x:c r="D841" s="36" t="str">
        <x:v>1922</x:v>
      </x:c>
      <x:c r="E841" s="36" t="str">
        <x:v>Person</x:v>
      </x:c>
      <x:c r="F841" s="37" t="str">
        <x:v>Not established here</x:v>
      </x:c>
      <x:c r="G841" s="33" t="str">
        <x:v>Not included in this affirmative shortlist. This is not a finding of non-genius.</x:v>
      </x:c>
      <x:c r="H841" s="29" t="str">
        <x:v>Medicine roster</x:v>
      </x:c>
    </x:row>
    <x:row r="842" ht="36" customHeight="1">
      <x:c r="A842" s="29" t="str">
        <x:v>Medicine</x:v>
      </x:c>
      <x:c r="B842" s="33" t="str">
        <x:v>Otto Fritz Meyerhof</x:v>
      </x:c>
      <x:c r="C842" s="35" t="n">
        <x:v>1922</x:v>
      </x:c>
      <x:c r="D842" s="36" t="str">
        <x:v>1922</x:v>
      </x:c>
      <x:c r="E842" s="36" t="str">
        <x:v>Person</x:v>
      </x:c>
      <x:c r="F842" s="37" t="str">
        <x:v>Not established here</x:v>
      </x:c>
      <x:c r="G842" s="33" t="str">
        <x:v>Not included in this affirmative shortlist. This is not a finding of non-genius.</x:v>
      </x:c>
      <x:c r="H842" s="29" t="str">
        <x:v>Medicine roster</x:v>
      </x:c>
    </x:row>
    <x:row r="843" ht="36" customHeight="1">
      <x:c r="A843" s="29" t="str">
        <x:v>Medicine</x:v>
      </x:c>
      <x:c r="B843" s="33" t="str">
        <x:v>Frederick Banting</x:v>
      </x:c>
      <x:c r="C843" s="35" t="n">
        <x:v>1923</x:v>
      </x:c>
      <x:c r="D843" s="36" t="str">
        <x:v>1923</x:v>
      </x:c>
      <x:c r="E843" s="36" t="str">
        <x:v>Person</x:v>
      </x:c>
      <x:c r="F843" s="37" t="str">
        <x:v>Not established here</x:v>
      </x:c>
      <x:c r="G843" s="33" t="str">
        <x:v>Not included in this affirmative shortlist. This is not a finding of non-genius.</x:v>
      </x:c>
      <x:c r="H843" s="29" t="str">
        <x:v>Medicine roster</x:v>
      </x:c>
    </x:row>
    <x:row r="844" ht="36" customHeight="1">
      <x:c r="A844" s="29" t="str">
        <x:v>Medicine</x:v>
      </x:c>
      <x:c r="B844" s="33" t="str">
        <x:v>John Macleod</x:v>
      </x:c>
      <x:c r="C844" s="35" t="n">
        <x:v>1923</x:v>
      </x:c>
      <x:c r="D844" s="36" t="str">
        <x:v>1923</x:v>
      </x:c>
      <x:c r="E844" s="36" t="str">
        <x:v>Person</x:v>
      </x:c>
      <x:c r="F844" s="37" t="str">
        <x:v>Not established here</x:v>
      </x:c>
      <x:c r="G844" s="33" t="str">
        <x:v>Not included in this affirmative shortlist. This is not a finding of non-genius.</x:v>
      </x:c>
      <x:c r="H844" s="29" t="str">
        <x:v>Medicine roster</x:v>
      </x:c>
    </x:row>
    <x:row r="845" ht="36" customHeight="1">
      <x:c r="A845" s="29" t="str">
        <x:v>Medicine</x:v>
      </x:c>
      <x:c r="B845" s="33" t="str">
        <x:v>Willem Einthoven</x:v>
      </x:c>
      <x:c r="C845" s="35" t="n">
        <x:v>1924</x:v>
      </x:c>
      <x:c r="D845" s="36" t="str">
        <x:v>1924</x:v>
      </x:c>
      <x:c r="E845" s="36" t="str">
        <x:v>Person</x:v>
      </x:c>
      <x:c r="F845" s="37" t="str">
        <x:v>Not established here</x:v>
      </x:c>
      <x:c r="G845" s="33" t="str">
        <x:v>Not included in this affirmative shortlist. This is not a finding of non-genius.</x:v>
      </x:c>
      <x:c r="H845" s="29" t="str">
        <x:v>Medicine roster</x:v>
      </x:c>
    </x:row>
    <x:row r="846" ht="36" customHeight="1">
      <x:c r="A846" s="29" t="str">
        <x:v>Medicine</x:v>
      </x:c>
      <x:c r="B846" s="33" t="str">
        <x:v>Johannes Fibiger</x:v>
      </x:c>
      <x:c r="C846" s="35" t="n">
        <x:v>1926</x:v>
      </x:c>
      <x:c r="D846" s="36" t="str">
        <x:v>1926</x:v>
      </x:c>
      <x:c r="E846" s="36" t="str">
        <x:v>Person</x:v>
      </x:c>
      <x:c r="F846" s="37" t="str">
        <x:v>Not established here</x:v>
      </x:c>
      <x:c r="G846" s="33" t="str">
        <x:v>Not included in this affirmative shortlist. This is not a finding of non-genius.</x:v>
      </x:c>
      <x:c r="H846" s="29" t="str">
        <x:v>Medicine roster</x:v>
      </x:c>
    </x:row>
    <x:row r="847" ht="36" customHeight="1">
      <x:c r="A847" s="29" t="str">
        <x:v>Medicine</x:v>
      </x:c>
      <x:c r="B847" s="33" t="str">
        <x:v>Julius Wagner-Jauregg</x:v>
      </x:c>
      <x:c r="C847" s="35" t="n">
        <x:v>1927</x:v>
      </x:c>
      <x:c r="D847" s="36" t="str">
        <x:v>1927</x:v>
      </x:c>
      <x:c r="E847" s="36" t="str">
        <x:v>Person</x:v>
      </x:c>
      <x:c r="F847" s="37" t="str">
        <x:v>Not established here</x:v>
      </x:c>
      <x:c r="G847" s="33" t="str">
        <x:v>Not included in this affirmative shortlist. This is not a finding of non-genius.</x:v>
      </x:c>
      <x:c r="H847" s="29" t="str">
        <x:v>Medicine roster</x:v>
      </x:c>
    </x:row>
    <x:row r="848" ht="36" customHeight="1">
      <x:c r="A848" s="29" t="str">
        <x:v>Medicine</x:v>
      </x:c>
      <x:c r="B848" s="33" t="str">
        <x:v>Charles Nicolle</x:v>
      </x:c>
      <x:c r="C848" s="35" t="n">
        <x:v>1928</x:v>
      </x:c>
      <x:c r="D848" s="36" t="str">
        <x:v>1928</x:v>
      </x:c>
      <x:c r="E848" s="36" t="str">
        <x:v>Person</x:v>
      </x:c>
      <x:c r="F848" s="37" t="str">
        <x:v>Not established here</x:v>
      </x:c>
      <x:c r="G848" s="33" t="str">
        <x:v>Not included in this affirmative shortlist. This is not a finding of non-genius.</x:v>
      </x:c>
      <x:c r="H848" s="29" t="str">
        <x:v>Medicine roster</x:v>
      </x:c>
    </x:row>
    <x:row r="849" ht="36" customHeight="1">
      <x:c r="A849" s="29" t="str">
        <x:v>Medicine</x:v>
      </x:c>
      <x:c r="B849" s="33" t="str">
        <x:v>Christiaan Eijkman</x:v>
      </x:c>
      <x:c r="C849" s="35" t="n">
        <x:v>1929</x:v>
      </x:c>
      <x:c r="D849" s="36" t="str">
        <x:v>1929</x:v>
      </x:c>
      <x:c r="E849" s="36" t="str">
        <x:v>Person</x:v>
      </x:c>
      <x:c r="F849" s="37" t="str">
        <x:v>Not established here</x:v>
      </x:c>
      <x:c r="G849" s="33" t="str">
        <x:v>Not included in this affirmative shortlist. This is not a finding of non-genius.</x:v>
      </x:c>
      <x:c r="H849" s="29" t="str">
        <x:v>Medicine roster</x:v>
      </x:c>
    </x:row>
    <x:row r="850" ht="36" customHeight="1">
      <x:c r="A850" s="29" t="str">
        <x:v>Medicine</x:v>
      </x:c>
      <x:c r="B850" s="33" t="str">
        <x:v>Frederick Gowland Hopkins</x:v>
      </x:c>
      <x:c r="C850" s="35" t="n">
        <x:v>1929</x:v>
      </x:c>
      <x:c r="D850" s="36" t="str">
        <x:v>1929</x:v>
      </x:c>
      <x:c r="E850" s="36" t="str">
        <x:v>Person</x:v>
      </x:c>
      <x:c r="F850" s="37" t="str">
        <x:v>Not established here</x:v>
      </x:c>
      <x:c r="G850" s="33" t="str">
        <x:v>Not included in this affirmative shortlist. This is not a finding of non-genius.</x:v>
      </x:c>
      <x:c r="H850" s="29" t="str">
        <x:v>Medicine roster</x:v>
      </x:c>
    </x:row>
    <x:row r="851" ht="36" customHeight="1">
      <x:c r="A851" s="29" t="str">
        <x:v>Medicine</x:v>
      </x:c>
      <x:c r="B851" s="33" t="str">
        <x:v>Karl Landsteiner</x:v>
      </x:c>
      <x:c r="C851" s="35" t="n">
        <x:v>1930</x:v>
      </x:c>
      <x:c r="D851" s="36" t="str">
        <x:v>1930</x:v>
      </x:c>
      <x:c r="E851" s="36" t="str">
        <x:v>Person</x:v>
      </x:c>
      <x:c r="F851" s="37" t="str">
        <x:v>Borderline</x:v>
      </x:c>
      <x:c r="G851" s="33" t="str">
        <x:v>Strong case for exceptional originality, but I am less certain of equivalence to the user's very high benchmark.</x:v>
      </x:c>
      <x:c r="H851" s="29" t="str">
        <x:v>Medicine roster</x:v>
      </x:c>
    </x:row>
    <x:row r="852" ht="36" customHeight="1">
      <x:c r="A852" s="29" t="str">
        <x:v>Medicine</x:v>
      </x:c>
      <x:c r="B852" s="33" t="str">
        <x:v>Otto Heinrich Warburg</x:v>
      </x:c>
      <x:c r="C852" s="35" t="n">
        <x:v>1931</x:v>
      </x:c>
      <x:c r="D852" s="36" t="str">
        <x:v>1931</x:v>
      </x:c>
      <x:c r="E852" s="36" t="str">
        <x:v>Person</x:v>
      </x:c>
      <x:c r="F852" s="37" t="str">
        <x:v>Borderline</x:v>
      </x:c>
      <x:c r="G852" s="33" t="str">
        <x:v>Strong case for exceptional originality, but I am less certain of equivalence to the user's very high benchmark.</x:v>
      </x:c>
      <x:c r="H852" s="29" t="str">
        <x:v>Medicine roster</x:v>
      </x:c>
    </x:row>
    <x:row r="853" ht="36" customHeight="1">
      <x:c r="A853" s="29" t="str">
        <x:v>Medicine</x:v>
      </x:c>
      <x:c r="B853" s="33" t="str">
        <x:v>Charles Scott Sherrington</x:v>
      </x:c>
      <x:c r="C853" s="35" t="n">
        <x:v>1932</x:v>
      </x:c>
      <x:c r="D853" s="36" t="str">
        <x:v>1932</x:v>
      </x:c>
      <x:c r="E853" s="36" t="str">
        <x:v>Person</x:v>
      </x:c>
      <x:c r="F853" s="37" t="str">
        <x:v>Clear</x:v>
      </x:c>
      <x:c r="G853" s="33" t="str">
        <x:v>Conceptual integration of nervous-system function.</x:v>
      </x:c>
      <x:c r="H853" s="29" t="str">
        <x:v>Medicine roster</x:v>
      </x:c>
    </x:row>
    <x:row r="854" ht="36" customHeight="1">
      <x:c r="A854" s="29" t="str">
        <x:v>Medicine</x:v>
      </x:c>
      <x:c r="B854" s="33" t="str">
        <x:v>Edgar Adrian</x:v>
      </x:c>
      <x:c r="C854" s="35" t="n">
        <x:v>1932</x:v>
      </x:c>
      <x:c r="D854" s="36" t="str">
        <x:v>1932</x:v>
      </x:c>
      <x:c r="E854" s="36" t="str">
        <x:v>Person</x:v>
      </x:c>
      <x:c r="F854" s="37" t="str">
        <x:v>Not established here</x:v>
      </x:c>
      <x:c r="G854" s="33" t="str">
        <x:v>Not included in this affirmative shortlist. This is not a finding of non-genius.</x:v>
      </x:c>
      <x:c r="H854" s="29" t="str">
        <x:v>Medicine roster</x:v>
      </x:c>
    </x:row>
    <x:row r="855" ht="36" customHeight="1">
      <x:c r="A855" s="29" t="str">
        <x:v>Medicine</x:v>
      </x:c>
      <x:c r="B855" s="33" t="str">
        <x:v>Thomas Hunt Morgan</x:v>
      </x:c>
      <x:c r="C855" s="35" t="n">
        <x:v>1933</x:v>
      </x:c>
      <x:c r="D855" s="36" t="str">
        <x:v>1933</x:v>
      </x:c>
      <x:c r="E855" s="36" t="str">
        <x:v>Person</x:v>
      </x:c>
      <x:c r="F855" s="37" t="str">
        <x:v>Clear</x:v>
      </x:c>
      <x:c r="G855" s="33" t="str">
        <x:v>Foundational reconstruction of genetics through chromosomes.</x:v>
      </x:c>
      <x:c r="H855" s="29" t="str">
        <x:v>Medicine roster</x:v>
      </x:c>
    </x:row>
    <x:row r="856" ht="36" customHeight="1">
      <x:c r="A856" s="29" t="str">
        <x:v>Medicine</x:v>
      </x:c>
      <x:c r="B856" s="33" t="str">
        <x:v>George Minot</x:v>
      </x:c>
      <x:c r="C856" s="35" t="n">
        <x:v>1934</x:v>
      </x:c>
      <x:c r="D856" s="36" t="str">
        <x:v>1934</x:v>
      </x:c>
      <x:c r="E856" s="36" t="str">
        <x:v>Person</x:v>
      </x:c>
      <x:c r="F856" s="37" t="str">
        <x:v>Not established here</x:v>
      </x:c>
      <x:c r="G856" s="33" t="str">
        <x:v>Not included in this affirmative shortlist. This is not a finding of non-genius.</x:v>
      </x:c>
      <x:c r="H856" s="29" t="str">
        <x:v>Medicine roster</x:v>
      </x:c>
    </x:row>
    <x:row r="857" ht="36" customHeight="1">
      <x:c r="A857" s="29" t="str">
        <x:v>Medicine</x:v>
      </x:c>
      <x:c r="B857" s="33" t="str">
        <x:v>George Whipple</x:v>
      </x:c>
      <x:c r="C857" s="35" t="n">
        <x:v>1934</x:v>
      </x:c>
      <x:c r="D857" s="36" t="str">
        <x:v>1934</x:v>
      </x:c>
      <x:c r="E857" s="36" t="str">
        <x:v>Person</x:v>
      </x:c>
      <x:c r="F857" s="37" t="str">
        <x:v>Not established here</x:v>
      </x:c>
      <x:c r="G857" s="33" t="str">
        <x:v>Not included in this affirmative shortlist. This is not a finding of non-genius.</x:v>
      </x:c>
      <x:c r="H857" s="29" t="str">
        <x:v>Medicine roster</x:v>
      </x:c>
    </x:row>
    <x:row r="858" ht="36" customHeight="1">
      <x:c r="A858" s="29" t="str">
        <x:v>Medicine</x:v>
      </x:c>
      <x:c r="B858" s="33" t="str">
        <x:v>William P. Murphy</x:v>
      </x:c>
      <x:c r="C858" s="35" t="n">
        <x:v>1934</x:v>
      </x:c>
      <x:c r="D858" s="36" t="str">
        <x:v>1934</x:v>
      </x:c>
      <x:c r="E858" s="36" t="str">
        <x:v>Person</x:v>
      </x:c>
      <x:c r="F858" s="37" t="str">
        <x:v>Not established here</x:v>
      </x:c>
      <x:c r="G858" s="33" t="str">
        <x:v>Not included in this affirmative shortlist. This is not a finding of non-genius.</x:v>
      </x:c>
      <x:c r="H858" s="29" t="str">
        <x:v>Medicine roster</x:v>
      </x:c>
    </x:row>
    <x:row r="859" ht="36" customHeight="1">
      <x:c r="A859" s="29" t="str">
        <x:v>Medicine</x:v>
      </x:c>
      <x:c r="B859" s="33" t="str">
        <x:v>Hans Spemann</x:v>
      </x:c>
      <x:c r="C859" s="35" t="n">
        <x:v>1935</x:v>
      </x:c>
      <x:c r="D859" s="36" t="str">
        <x:v>1935</x:v>
      </x:c>
      <x:c r="E859" s="36" t="str">
        <x:v>Person</x:v>
      </x:c>
      <x:c r="F859" s="37" t="str">
        <x:v>Borderline</x:v>
      </x:c>
      <x:c r="G859" s="33" t="str">
        <x:v>Strong case for exceptional originality, but I am less certain of equivalence to the user's very high benchmark.</x:v>
      </x:c>
      <x:c r="H859" s="29" t="str">
        <x:v>Medicine roster</x:v>
      </x:c>
    </x:row>
    <x:row r="860" ht="36" customHeight="1">
      <x:c r="A860" s="29" t="str">
        <x:v>Medicine</x:v>
      </x:c>
      <x:c r="B860" s="33" t="str">
        <x:v>Henry Hallett Dale</x:v>
      </x:c>
      <x:c r="C860" s="35" t="n">
        <x:v>1936</x:v>
      </x:c>
      <x:c r="D860" s="36" t="str">
        <x:v>1936</x:v>
      </x:c>
      <x:c r="E860" s="36" t="str">
        <x:v>Person</x:v>
      </x:c>
      <x:c r="F860" s="37" t="str">
        <x:v>Not established here</x:v>
      </x:c>
      <x:c r="G860" s="33" t="str">
        <x:v>Not included in this affirmative shortlist. This is not a finding of non-genius.</x:v>
      </x:c>
      <x:c r="H860" s="29" t="str">
        <x:v>Medicine roster</x:v>
      </x:c>
    </x:row>
    <x:row r="861" ht="36" customHeight="1">
      <x:c r="A861" s="29" t="str">
        <x:v>Medicine</x:v>
      </x:c>
      <x:c r="B861" s="33" t="str">
        <x:v>Otto Loewi</x:v>
      </x:c>
      <x:c r="C861" s="35" t="n">
        <x:v>1936</x:v>
      </x:c>
      <x:c r="D861" s="36" t="str">
        <x:v>1936</x:v>
      </x:c>
      <x:c r="E861" s="36" t="str">
        <x:v>Person</x:v>
      </x:c>
      <x:c r="F861" s="37" t="str">
        <x:v>Not established here</x:v>
      </x:c>
      <x:c r="G861" s="33" t="str">
        <x:v>Not included in this affirmative shortlist. This is not a finding of non-genius.</x:v>
      </x:c>
      <x:c r="H861" s="29" t="str">
        <x:v>Medicine roster</x:v>
      </x:c>
    </x:row>
    <x:row r="862" ht="36" customHeight="1">
      <x:c r="A862" s="29" t="str">
        <x:v>Medicine</x:v>
      </x:c>
      <x:c r="B862" s="33" t="str">
        <x:v>Albert Szent-Györgyi</x:v>
      </x:c>
      <x:c r="C862" s="35" t="n">
        <x:v>1937</x:v>
      </x:c>
      <x:c r="D862" s="36" t="str">
        <x:v>1937</x:v>
      </x:c>
      <x:c r="E862" s="36" t="str">
        <x:v>Person</x:v>
      </x:c>
      <x:c r="F862" s="37" t="str">
        <x:v>Borderline</x:v>
      </x:c>
      <x:c r="G862" s="33" t="str">
        <x:v>Strong case for exceptional originality, but I am less certain of equivalence to the user's very high benchmark.</x:v>
      </x:c>
      <x:c r="H862" s="29" t="str">
        <x:v>Medicine roster</x:v>
      </x:c>
    </x:row>
    <x:row r="863" ht="36" customHeight="1">
      <x:c r="A863" s="29" t="str">
        <x:v>Medicine</x:v>
      </x:c>
      <x:c r="B863" s="33" t="str">
        <x:v>Corneille Heymans</x:v>
      </x:c>
      <x:c r="C863" s="35" t="n">
        <x:v>1938</x:v>
      </x:c>
      <x:c r="D863" s="36" t="str">
        <x:v>1938</x:v>
      </x:c>
      <x:c r="E863" s="36" t="str">
        <x:v>Person</x:v>
      </x:c>
      <x:c r="F863" s="37" t="str">
        <x:v>Not established here</x:v>
      </x:c>
      <x:c r="G863" s="33" t="str">
        <x:v>Not included in this affirmative shortlist. This is not a finding of non-genius.</x:v>
      </x:c>
      <x:c r="H863" s="29" t="str">
        <x:v>Medicine roster</x:v>
      </x:c>
    </x:row>
    <x:row r="864" ht="36" customHeight="1">
      <x:c r="A864" s="29" t="str">
        <x:v>Medicine</x:v>
      </x:c>
      <x:c r="B864" s="33" t="str">
        <x:v>Gerhard Domagk</x:v>
      </x:c>
      <x:c r="C864" s="35" t="n">
        <x:v>1939</x:v>
      </x:c>
      <x:c r="D864" s="36" t="str">
        <x:v>1939</x:v>
      </x:c>
      <x:c r="E864" s="36" t="str">
        <x:v>Person</x:v>
      </x:c>
      <x:c r="F864" s="37" t="str">
        <x:v>Not established here</x:v>
      </x:c>
      <x:c r="G864" s="33" t="str">
        <x:v>Not included in this affirmative shortlist. This is not a finding of non-genius.</x:v>
      </x:c>
      <x:c r="H864" s="29" t="str">
        <x:v>Medicine roster</x:v>
      </x:c>
    </x:row>
    <x:row r="865" ht="36" customHeight="1">
      <x:c r="A865" s="29" t="str">
        <x:v>Medicine</x:v>
      </x:c>
      <x:c r="B865" s="33" t="str">
        <x:v>Edward Adelbert Doisy</x:v>
      </x:c>
      <x:c r="C865" s="35" t="n">
        <x:v>1943</x:v>
      </x:c>
      <x:c r="D865" s="36" t="str">
        <x:v>1943</x:v>
      </x:c>
      <x:c r="E865" s="36" t="str">
        <x:v>Person</x:v>
      </x:c>
      <x:c r="F865" s="37" t="str">
        <x:v>Not established here</x:v>
      </x:c>
      <x:c r="G865" s="33" t="str">
        <x:v>Not included in this affirmative shortlist. This is not a finding of non-genius.</x:v>
      </x:c>
      <x:c r="H865" s="29" t="str">
        <x:v>Medicine roster</x:v>
      </x:c>
    </x:row>
    <x:row r="866" ht="36" customHeight="1">
      <x:c r="A866" s="29" t="str">
        <x:v>Medicine</x:v>
      </x:c>
      <x:c r="B866" s="33" t="str">
        <x:v>Henrik Dam</x:v>
      </x:c>
      <x:c r="C866" s="35" t="n">
        <x:v>1943</x:v>
      </x:c>
      <x:c r="D866" s="36" t="str">
        <x:v>1943</x:v>
      </x:c>
      <x:c r="E866" s="36" t="str">
        <x:v>Person</x:v>
      </x:c>
      <x:c r="F866" s="37" t="str">
        <x:v>Not established here</x:v>
      </x:c>
      <x:c r="G866" s="33" t="str">
        <x:v>Not included in this affirmative shortlist. This is not a finding of non-genius.</x:v>
      </x:c>
      <x:c r="H866" s="29" t="str">
        <x:v>Medicine roster</x:v>
      </x:c>
    </x:row>
    <x:row r="867" ht="36" customHeight="1">
      <x:c r="A867" s="29" t="str">
        <x:v>Medicine</x:v>
      </x:c>
      <x:c r="B867" s="33" t="str">
        <x:v>Herbert Spencer Gasser</x:v>
      </x:c>
      <x:c r="C867" s="35" t="n">
        <x:v>1944</x:v>
      </x:c>
      <x:c r="D867" s="36" t="str">
        <x:v>1944</x:v>
      </x:c>
      <x:c r="E867" s="36" t="str">
        <x:v>Person</x:v>
      </x:c>
      <x:c r="F867" s="37" t="str">
        <x:v>Not established here</x:v>
      </x:c>
      <x:c r="G867" s="33" t="str">
        <x:v>Not included in this affirmative shortlist. This is not a finding of non-genius.</x:v>
      </x:c>
      <x:c r="H867" s="29" t="str">
        <x:v>Medicine roster</x:v>
      </x:c>
    </x:row>
    <x:row r="868" ht="36" customHeight="1">
      <x:c r="A868" s="29" t="str">
        <x:v>Medicine</x:v>
      </x:c>
      <x:c r="B868" s="33" t="str">
        <x:v>Joseph Erlanger</x:v>
      </x:c>
      <x:c r="C868" s="35" t="n">
        <x:v>1944</x:v>
      </x:c>
      <x:c r="D868" s="36" t="str">
        <x:v>1944</x:v>
      </x:c>
      <x:c r="E868" s="36" t="str">
        <x:v>Person</x:v>
      </x:c>
      <x:c r="F868" s="37" t="str">
        <x:v>Not established here</x:v>
      </x:c>
      <x:c r="G868" s="33" t="str">
        <x:v>Not included in this affirmative shortlist. This is not a finding of non-genius.</x:v>
      </x:c>
      <x:c r="H868" s="29" t="str">
        <x:v>Medicine roster</x:v>
      </x:c>
    </x:row>
    <x:row r="869" ht="36" customHeight="1">
      <x:c r="A869" s="29" t="str">
        <x:v>Medicine</x:v>
      </x:c>
      <x:c r="B869" s="33" t="str">
        <x:v>Alexander Fleming</x:v>
      </x:c>
      <x:c r="C869" s="35" t="n">
        <x:v>1945</x:v>
      </x:c>
      <x:c r="D869" s="36" t="str">
        <x:v>1945</x:v>
      </x:c>
      <x:c r="E869" s="36" t="str">
        <x:v>Person</x:v>
      </x:c>
      <x:c r="F869" s="37" t="str">
        <x:v>Not established here</x:v>
      </x:c>
      <x:c r="G869" s="33" t="str">
        <x:v>Not included in this affirmative shortlist. This is not a finding of non-genius.</x:v>
      </x:c>
      <x:c r="H869" s="29" t="str">
        <x:v>Medicine roster</x:v>
      </x:c>
    </x:row>
    <x:row r="870" ht="36" customHeight="1">
      <x:c r="A870" s="29" t="str">
        <x:v>Medicine</x:v>
      </x:c>
      <x:c r="B870" s="33" t="str">
        <x:v>Ernst Chain</x:v>
      </x:c>
      <x:c r="C870" s="35" t="n">
        <x:v>1945</x:v>
      </x:c>
      <x:c r="D870" s="36" t="str">
        <x:v>1945</x:v>
      </x:c>
      <x:c r="E870" s="36" t="str">
        <x:v>Person</x:v>
      </x:c>
      <x:c r="F870" s="37" t="str">
        <x:v>Not established here</x:v>
      </x:c>
      <x:c r="G870" s="33" t="str">
        <x:v>Not included in this affirmative shortlist. This is not a finding of non-genius.</x:v>
      </x:c>
      <x:c r="H870" s="29" t="str">
        <x:v>Medicine roster</x:v>
      </x:c>
    </x:row>
    <x:row r="871" ht="36" customHeight="1">
      <x:c r="A871" s="29" t="str">
        <x:v>Medicine</x:v>
      </x:c>
      <x:c r="B871" s="33" t="str">
        <x:v>Howard Florey</x:v>
      </x:c>
      <x:c r="C871" s="35" t="n">
        <x:v>1945</x:v>
      </x:c>
      <x:c r="D871" s="36" t="str">
        <x:v>1945</x:v>
      </x:c>
      <x:c r="E871" s="36" t="str">
        <x:v>Person</x:v>
      </x:c>
      <x:c r="F871" s="37" t="str">
        <x:v>Not established here</x:v>
      </x:c>
      <x:c r="G871" s="33" t="str">
        <x:v>Not included in this affirmative shortlist. This is not a finding of non-genius.</x:v>
      </x:c>
      <x:c r="H871" s="29" t="str">
        <x:v>Medicine roster</x:v>
      </x:c>
    </x:row>
    <x:row r="872" ht="36" customHeight="1">
      <x:c r="A872" s="29" t="str">
        <x:v>Medicine</x:v>
      </x:c>
      <x:c r="B872" s="33" t="str">
        <x:v>Hermann Joseph Muller</x:v>
      </x:c>
      <x:c r="C872" s="35" t="n">
        <x:v>1946</x:v>
      </x:c>
      <x:c r="D872" s="36" t="str">
        <x:v>1946</x:v>
      </x:c>
      <x:c r="E872" s="36" t="str">
        <x:v>Person</x:v>
      </x:c>
      <x:c r="F872" s="37" t="str">
        <x:v>Borderline</x:v>
      </x:c>
      <x:c r="G872" s="33" t="str">
        <x:v>Strong case for exceptional originality, but I am less certain of equivalence to the user's very high benchmark.</x:v>
      </x:c>
      <x:c r="H872" s="29" t="str">
        <x:v>Medicine roster</x:v>
      </x:c>
    </x:row>
    <x:row r="873" ht="36" customHeight="1">
      <x:c r="A873" s="29" t="str">
        <x:v>Medicine</x:v>
      </x:c>
      <x:c r="B873" s="33" t="str">
        <x:v>Bernardo Houssay</x:v>
      </x:c>
      <x:c r="C873" s="35" t="n">
        <x:v>1947</x:v>
      </x:c>
      <x:c r="D873" s="36" t="str">
        <x:v>1947</x:v>
      </x:c>
      <x:c r="E873" s="36" t="str">
        <x:v>Person</x:v>
      </x:c>
      <x:c r="F873" s="37" t="str">
        <x:v>Not established here</x:v>
      </x:c>
      <x:c r="G873" s="33" t="str">
        <x:v>Not included in this affirmative shortlist. This is not a finding of non-genius.</x:v>
      </x:c>
      <x:c r="H873" s="29" t="str">
        <x:v>Medicine roster</x:v>
      </x:c>
    </x:row>
    <x:row r="874" ht="36" customHeight="1">
      <x:c r="A874" s="29" t="str">
        <x:v>Medicine</x:v>
      </x:c>
      <x:c r="B874" s="33" t="str">
        <x:v>Carl Ferdinand Cori</x:v>
      </x:c>
      <x:c r="C874" s="35" t="n">
        <x:v>1947</x:v>
      </x:c>
      <x:c r="D874" s="36" t="str">
        <x:v>1947</x:v>
      </x:c>
      <x:c r="E874" s="36" t="str">
        <x:v>Person</x:v>
      </x:c>
      <x:c r="F874" s="37" t="str">
        <x:v>Not established here</x:v>
      </x:c>
      <x:c r="G874" s="33" t="str">
        <x:v>Not included in this affirmative shortlist. This is not a finding of non-genius.</x:v>
      </x:c>
      <x:c r="H874" s="29" t="str">
        <x:v>Medicine roster</x:v>
      </x:c>
    </x:row>
    <x:row r="875" ht="36" customHeight="1">
      <x:c r="A875" s="29" t="str">
        <x:v>Medicine</x:v>
      </x:c>
      <x:c r="B875" s="33" t="str">
        <x:v>Gerty Cori</x:v>
      </x:c>
      <x:c r="C875" s="35" t="n">
        <x:v>1947</x:v>
      </x:c>
      <x:c r="D875" s="36" t="str">
        <x:v>1947</x:v>
      </x:c>
      <x:c r="E875" s="36" t="str">
        <x:v>Person</x:v>
      </x:c>
      <x:c r="F875" s="37" t="str">
        <x:v>Not established here</x:v>
      </x:c>
      <x:c r="G875" s="33" t="str">
        <x:v>Not included in this affirmative shortlist. This is not a finding of non-genius.</x:v>
      </x:c>
      <x:c r="H875" s="29" t="str">
        <x:v>Medicine roster</x:v>
      </x:c>
    </x:row>
    <x:row r="876" ht="36" customHeight="1">
      <x:c r="A876" s="29" t="str">
        <x:v>Medicine</x:v>
      </x:c>
      <x:c r="B876" s="33" t="str">
        <x:v>Paul Hermann Müller</x:v>
      </x:c>
      <x:c r="C876" s="35" t="n">
        <x:v>1948</x:v>
      </x:c>
      <x:c r="D876" s="36" t="str">
        <x:v>1948</x:v>
      </x:c>
      <x:c r="E876" s="36" t="str">
        <x:v>Person</x:v>
      </x:c>
      <x:c r="F876" s="37" t="str">
        <x:v>Not established here</x:v>
      </x:c>
      <x:c r="G876" s="33" t="str">
        <x:v>Not included in this affirmative shortlist. This is not a finding of non-genius.</x:v>
      </x:c>
      <x:c r="H876" s="29" t="str">
        <x:v>Medicine roster</x:v>
      </x:c>
    </x:row>
    <x:row r="877" ht="36" customHeight="1">
      <x:c r="A877" s="29" t="str">
        <x:v>Medicine</x:v>
      </x:c>
      <x:c r="B877" s="33" t="str">
        <x:v>António Egas Moniz</x:v>
      </x:c>
      <x:c r="C877" s="35" t="n">
        <x:v>1949</x:v>
      </x:c>
      <x:c r="D877" s="36" t="str">
        <x:v>1949</x:v>
      </x:c>
      <x:c r="E877" s="36" t="str">
        <x:v>Person</x:v>
      </x:c>
      <x:c r="F877" s="37" t="str">
        <x:v>Not established here</x:v>
      </x:c>
      <x:c r="G877" s="33" t="str">
        <x:v>Not included in this affirmative shortlist. This is not a finding of non-genius.</x:v>
      </x:c>
      <x:c r="H877" s="29" t="str">
        <x:v>Medicine roster</x:v>
      </x:c>
    </x:row>
    <x:row r="878" ht="36" customHeight="1">
      <x:c r="A878" s="29" t="str">
        <x:v>Medicine</x:v>
      </x:c>
      <x:c r="B878" s="33" t="str">
        <x:v>Walter Rudolf Hess</x:v>
      </x:c>
      <x:c r="C878" s="35" t="n">
        <x:v>1949</x:v>
      </x:c>
      <x:c r="D878" s="36" t="str">
        <x:v>1949</x:v>
      </x:c>
      <x:c r="E878" s="36" t="str">
        <x:v>Person</x:v>
      </x:c>
      <x:c r="F878" s="37" t="str">
        <x:v>Not established here</x:v>
      </x:c>
      <x:c r="G878" s="33" t="str">
        <x:v>Not included in this affirmative shortlist. This is not a finding of non-genius.</x:v>
      </x:c>
      <x:c r="H878" s="29" t="str">
        <x:v>Medicine roster</x:v>
      </x:c>
    </x:row>
    <x:row r="879" ht="36" customHeight="1">
      <x:c r="A879" s="29" t="str">
        <x:v>Medicine</x:v>
      </x:c>
      <x:c r="B879" s="33" t="str">
        <x:v>Edward Calvin Kendall</x:v>
      </x:c>
      <x:c r="C879" s="35" t="n">
        <x:v>1950</x:v>
      </x:c>
      <x:c r="D879" s="36" t="str">
        <x:v>1950</x:v>
      </x:c>
      <x:c r="E879" s="36" t="str">
        <x:v>Person</x:v>
      </x:c>
      <x:c r="F879" s="37" t="str">
        <x:v>Not established here</x:v>
      </x:c>
      <x:c r="G879" s="33" t="str">
        <x:v>Not included in this affirmative shortlist. This is not a finding of non-genius.</x:v>
      </x:c>
      <x:c r="H879" s="29" t="str">
        <x:v>Medicine roster</x:v>
      </x:c>
    </x:row>
    <x:row r="880" ht="36" customHeight="1">
      <x:c r="A880" s="29" t="str">
        <x:v>Medicine</x:v>
      </x:c>
      <x:c r="B880" s="33" t="str">
        <x:v>Philip Showalter Hench</x:v>
      </x:c>
      <x:c r="C880" s="35" t="n">
        <x:v>1950</x:v>
      </x:c>
      <x:c r="D880" s="36" t="str">
        <x:v>1950</x:v>
      </x:c>
      <x:c r="E880" s="36" t="str">
        <x:v>Person</x:v>
      </x:c>
      <x:c r="F880" s="37" t="str">
        <x:v>Not established here</x:v>
      </x:c>
      <x:c r="G880" s="33" t="str">
        <x:v>Not included in this affirmative shortlist. This is not a finding of non-genius.</x:v>
      </x:c>
      <x:c r="H880" s="29" t="str">
        <x:v>Medicine roster</x:v>
      </x:c>
    </x:row>
    <x:row r="881" ht="36" customHeight="1">
      <x:c r="A881" s="29" t="str">
        <x:v>Medicine</x:v>
      </x:c>
      <x:c r="B881" s="33" t="str">
        <x:v>Tadeus Reichstein</x:v>
      </x:c>
      <x:c r="C881" s="35" t="n">
        <x:v>1950</x:v>
      </x:c>
      <x:c r="D881" s="36" t="str">
        <x:v>1950</x:v>
      </x:c>
      <x:c r="E881" s="36" t="str">
        <x:v>Person</x:v>
      </x:c>
      <x:c r="F881" s="37" t="str">
        <x:v>Not established here</x:v>
      </x:c>
      <x:c r="G881" s="33" t="str">
        <x:v>Not included in this affirmative shortlist. This is not a finding of non-genius.</x:v>
      </x:c>
      <x:c r="H881" s="29" t="str">
        <x:v>Medicine roster</x:v>
      </x:c>
    </x:row>
    <x:row r="882" ht="36" customHeight="1">
      <x:c r="A882" s="29" t="str">
        <x:v>Medicine</x:v>
      </x:c>
      <x:c r="B882" s="33" t="str">
        <x:v>Max Theiler</x:v>
      </x:c>
      <x:c r="C882" s="35" t="n">
        <x:v>1951</x:v>
      </x:c>
      <x:c r="D882" s="36" t="str">
        <x:v>1951</x:v>
      </x:c>
      <x:c r="E882" s="36" t="str">
        <x:v>Person</x:v>
      </x:c>
      <x:c r="F882" s="37" t="str">
        <x:v>Not established here</x:v>
      </x:c>
      <x:c r="G882" s="33" t="str">
        <x:v>Not included in this affirmative shortlist. This is not a finding of non-genius.</x:v>
      </x:c>
      <x:c r="H882" s="29" t="str">
        <x:v>Medicine roster</x:v>
      </x:c>
    </x:row>
    <x:row r="883" ht="36" customHeight="1">
      <x:c r="A883" s="29" t="str">
        <x:v>Medicine</x:v>
      </x:c>
      <x:c r="B883" s="33" t="str">
        <x:v>Selman Waksman</x:v>
      </x:c>
      <x:c r="C883" s="35" t="n">
        <x:v>1952</x:v>
      </x:c>
      <x:c r="D883" s="36" t="str">
        <x:v>1952</x:v>
      </x:c>
      <x:c r="E883" s="36" t="str">
        <x:v>Person</x:v>
      </x:c>
      <x:c r="F883" s="37" t="str">
        <x:v>Not established here</x:v>
      </x:c>
      <x:c r="G883" s="33" t="str">
        <x:v>Not included in this affirmative shortlist. This is not a finding of non-genius.</x:v>
      </x:c>
      <x:c r="H883" s="29" t="str">
        <x:v>Medicine roster</x:v>
      </x:c>
    </x:row>
    <x:row r="884" ht="36" customHeight="1">
      <x:c r="A884" s="29" t="str">
        <x:v>Medicine</x:v>
      </x:c>
      <x:c r="B884" s="33" t="str">
        <x:v>Fritz Albert Lipmann</x:v>
      </x:c>
      <x:c r="C884" s="35" t="n">
        <x:v>1953</x:v>
      </x:c>
      <x:c r="D884" s="36" t="str">
        <x:v>1953</x:v>
      </x:c>
      <x:c r="E884" s="36" t="str">
        <x:v>Person</x:v>
      </x:c>
      <x:c r="F884" s="37" t="str">
        <x:v>Not established here</x:v>
      </x:c>
      <x:c r="G884" s="33" t="str">
        <x:v>Not included in this affirmative shortlist. This is not a finding of non-genius.</x:v>
      </x:c>
      <x:c r="H884" s="29" t="str">
        <x:v>Medicine roster</x:v>
      </x:c>
    </x:row>
    <x:row r="885" ht="36" customHeight="1">
      <x:c r="A885" s="29" t="str">
        <x:v>Medicine</x:v>
      </x:c>
      <x:c r="B885" s="33" t="str">
        <x:v>Hans Adolf Krebs</x:v>
      </x:c>
      <x:c r="C885" s="35" t="n">
        <x:v>1953</x:v>
      </x:c>
      <x:c r="D885" s="36" t="str">
        <x:v>1953</x:v>
      </x:c>
      <x:c r="E885" s="36" t="str">
        <x:v>Person</x:v>
      </x:c>
      <x:c r="F885" s="37" t="str">
        <x:v>Borderline</x:v>
      </x:c>
      <x:c r="G885" s="33" t="str">
        <x:v>Strong case for exceptional originality, but I am less certain of equivalence to the user's very high benchmark.</x:v>
      </x:c>
      <x:c r="H885" s="29" t="str">
        <x:v>Medicine roster</x:v>
      </x:c>
    </x:row>
    <x:row r="886" ht="36" customHeight="1">
      <x:c r="A886" s="29" t="str">
        <x:v>Medicine</x:v>
      </x:c>
      <x:c r="B886" s="33" t="str">
        <x:v>Frederick Chapman Robbins</x:v>
      </x:c>
      <x:c r="C886" s="35" t="n">
        <x:v>1954</x:v>
      </x:c>
      <x:c r="D886" s="36" t="str">
        <x:v>1954</x:v>
      </x:c>
      <x:c r="E886" s="36" t="str">
        <x:v>Person</x:v>
      </x:c>
      <x:c r="F886" s="37" t="str">
        <x:v>Not established here</x:v>
      </x:c>
      <x:c r="G886" s="33" t="str">
        <x:v>Not included in this affirmative shortlist. This is not a finding of non-genius.</x:v>
      </x:c>
      <x:c r="H886" s="29" t="str">
        <x:v>Medicine roster</x:v>
      </x:c>
    </x:row>
    <x:row r="887" ht="36" customHeight="1">
      <x:c r="A887" s="29" t="str">
        <x:v>Medicine</x:v>
      </x:c>
      <x:c r="B887" s="33" t="str">
        <x:v>John Franklin Enders</x:v>
      </x:c>
      <x:c r="C887" s="35" t="n">
        <x:v>1954</x:v>
      </x:c>
      <x:c r="D887" s="36" t="str">
        <x:v>1954</x:v>
      </x:c>
      <x:c r="E887" s="36" t="str">
        <x:v>Person</x:v>
      </x:c>
      <x:c r="F887" s="37" t="str">
        <x:v>Not established here</x:v>
      </x:c>
      <x:c r="G887" s="33" t="str">
        <x:v>Not included in this affirmative shortlist. This is not a finding of non-genius.</x:v>
      </x:c>
      <x:c r="H887" s="29" t="str">
        <x:v>Medicine roster</x:v>
      </x:c>
    </x:row>
    <x:row r="888" ht="36" customHeight="1">
      <x:c r="A888" s="29" t="str">
        <x:v>Medicine</x:v>
      </x:c>
      <x:c r="B888" s="33" t="str">
        <x:v>Thomas Huckle Weller</x:v>
      </x:c>
      <x:c r="C888" s="35" t="n">
        <x:v>1954</x:v>
      </x:c>
      <x:c r="D888" s="36" t="str">
        <x:v>1954</x:v>
      </x:c>
      <x:c r="E888" s="36" t="str">
        <x:v>Person</x:v>
      </x:c>
      <x:c r="F888" s="37" t="str">
        <x:v>Not established here</x:v>
      </x:c>
      <x:c r="G888" s="33" t="str">
        <x:v>Not included in this affirmative shortlist. This is not a finding of non-genius.</x:v>
      </x:c>
      <x:c r="H888" s="29" t="str">
        <x:v>Medicine roster</x:v>
      </x:c>
    </x:row>
    <x:row r="889" ht="36" customHeight="1">
      <x:c r="A889" s="29" t="str">
        <x:v>Medicine</x:v>
      </x:c>
      <x:c r="B889" s="33" t="str">
        <x:v>Hugo Theorell</x:v>
      </x:c>
      <x:c r="C889" s="35" t="n">
        <x:v>1955</x:v>
      </x:c>
      <x:c r="D889" s="36" t="str">
        <x:v>1955</x:v>
      </x:c>
      <x:c r="E889" s="36" t="str">
        <x:v>Person</x:v>
      </x:c>
      <x:c r="F889" s="37" t="str">
        <x:v>Not established here</x:v>
      </x:c>
      <x:c r="G889" s="33" t="str">
        <x:v>Not included in this affirmative shortlist. This is not a finding of non-genius.</x:v>
      </x:c>
      <x:c r="H889" s="29" t="str">
        <x:v>Medicine roster</x:v>
      </x:c>
    </x:row>
    <x:row r="890" ht="36" customHeight="1">
      <x:c r="A890" s="29" t="str">
        <x:v>Medicine</x:v>
      </x:c>
      <x:c r="B890" s="33" t="str">
        <x:v>André Frédéric Cournand</x:v>
      </x:c>
      <x:c r="C890" s="35" t="n">
        <x:v>1956</x:v>
      </x:c>
      <x:c r="D890" s="36" t="str">
        <x:v>1956</x:v>
      </x:c>
      <x:c r="E890" s="36" t="str">
        <x:v>Person</x:v>
      </x:c>
      <x:c r="F890" s="37" t="str">
        <x:v>Not established here</x:v>
      </x:c>
      <x:c r="G890" s="33" t="str">
        <x:v>Not included in this affirmative shortlist. This is not a finding of non-genius.</x:v>
      </x:c>
      <x:c r="H890" s="29" t="str">
        <x:v>Medicine roster</x:v>
      </x:c>
    </x:row>
    <x:row r="891" ht="36" customHeight="1">
      <x:c r="A891" s="29" t="str">
        <x:v>Medicine</x:v>
      </x:c>
      <x:c r="B891" s="33" t="str">
        <x:v>Dickinson W. Richards</x:v>
      </x:c>
      <x:c r="C891" s="35" t="n">
        <x:v>1956</x:v>
      </x:c>
      <x:c r="D891" s="36" t="str">
        <x:v>1956</x:v>
      </x:c>
      <x:c r="E891" s="36" t="str">
        <x:v>Person</x:v>
      </x:c>
      <x:c r="F891" s="37" t="str">
        <x:v>Not established here</x:v>
      </x:c>
      <x:c r="G891" s="33" t="str">
        <x:v>Not included in this affirmative shortlist. This is not a finding of non-genius.</x:v>
      </x:c>
      <x:c r="H891" s="29" t="str">
        <x:v>Medicine roster</x:v>
      </x:c>
    </x:row>
    <x:row r="892" ht="36" customHeight="1">
      <x:c r="A892" s="29" t="str">
        <x:v>Medicine</x:v>
      </x:c>
      <x:c r="B892" s="33" t="str">
        <x:v>Werner Forssmann</x:v>
      </x:c>
      <x:c r="C892" s="35" t="n">
        <x:v>1956</x:v>
      </x:c>
      <x:c r="D892" s="36" t="str">
        <x:v>1956</x:v>
      </x:c>
      <x:c r="E892" s="36" t="str">
        <x:v>Person</x:v>
      </x:c>
      <x:c r="F892" s="37" t="str">
        <x:v>Not established here</x:v>
      </x:c>
      <x:c r="G892" s="33" t="str">
        <x:v>Not included in this affirmative shortlist. This is not a finding of non-genius.</x:v>
      </x:c>
      <x:c r="H892" s="29" t="str">
        <x:v>Medicine roster</x:v>
      </x:c>
    </x:row>
    <x:row r="893" ht="36" customHeight="1">
      <x:c r="A893" s="29" t="str">
        <x:v>Medicine</x:v>
      </x:c>
      <x:c r="B893" s="33" t="str">
        <x:v>Daniel Bovet</x:v>
      </x:c>
      <x:c r="C893" s="35" t="n">
        <x:v>1957</x:v>
      </x:c>
      <x:c r="D893" s="36" t="str">
        <x:v>1957</x:v>
      </x:c>
      <x:c r="E893" s="36" t="str">
        <x:v>Person</x:v>
      </x:c>
      <x:c r="F893" s="37" t="str">
        <x:v>Not established here</x:v>
      </x:c>
      <x:c r="G893" s="33" t="str">
        <x:v>Not included in this affirmative shortlist. This is not a finding of non-genius.</x:v>
      </x:c>
      <x:c r="H893" s="29" t="str">
        <x:v>Medicine roster</x:v>
      </x:c>
    </x:row>
    <x:row r="894" ht="36" customHeight="1">
      <x:c r="A894" s="29" t="str">
        <x:v>Medicine</x:v>
      </x:c>
      <x:c r="B894" s="33" t="str">
        <x:v>Edward Lawrie Tatum</x:v>
      </x:c>
      <x:c r="C894" s="35" t="n">
        <x:v>1958</x:v>
      </x:c>
      <x:c r="D894" s="36" t="str">
        <x:v>1958</x:v>
      </x:c>
      <x:c r="E894" s="36" t="str">
        <x:v>Person</x:v>
      </x:c>
      <x:c r="F894" s="37" t="str">
        <x:v>Not established here</x:v>
      </x:c>
      <x:c r="G894" s="33" t="str">
        <x:v>Not included in this affirmative shortlist. This is not a finding of non-genius.</x:v>
      </x:c>
      <x:c r="H894" s="29" t="str">
        <x:v>Medicine roster</x:v>
      </x:c>
    </x:row>
    <x:row r="895" ht="36" customHeight="1">
      <x:c r="A895" s="29" t="str">
        <x:v>Medicine</x:v>
      </x:c>
      <x:c r="B895" s="33" t="str">
        <x:v>George Wells Beadle</x:v>
      </x:c>
      <x:c r="C895" s="35" t="n">
        <x:v>1958</x:v>
      </x:c>
      <x:c r="D895" s="36" t="str">
        <x:v>1958</x:v>
      </x:c>
      <x:c r="E895" s="36" t="str">
        <x:v>Person</x:v>
      </x:c>
      <x:c r="F895" s="37" t="str">
        <x:v>Not established here</x:v>
      </x:c>
      <x:c r="G895" s="33" t="str">
        <x:v>Not included in this affirmative shortlist. This is not a finding of non-genius.</x:v>
      </x:c>
      <x:c r="H895" s="29" t="str">
        <x:v>Medicine roster</x:v>
      </x:c>
    </x:row>
    <x:row r="896" ht="36" customHeight="1">
      <x:c r="A896" s="29" t="str">
        <x:v>Medicine</x:v>
      </x:c>
      <x:c r="B896" s="33" t="str">
        <x:v>Joshua Lederberg</x:v>
      </x:c>
      <x:c r="C896" s="35" t="n">
        <x:v>1958</x:v>
      </x:c>
      <x:c r="D896" s="36" t="str">
        <x:v>1958</x:v>
      </x:c>
      <x:c r="E896" s="36" t="str">
        <x:v>Person</x:v>
      </x:c>
      <x:c r="F896" s="37" t="str">
        <x:v>Clear</x:v>
      </x:c>
      <x:c r="G896" s="33" t="str">
        <x:v>Bacterial genetics and broad original biological reasoning.</x:v>
      </x:c>
      <x:c r="H896" s="29" t="str">
        <x:v>Medicine roster</x:v>
      </x:c>
    </x:row>
    <x:row r="897" ht="36" customHeight="1">
      <x:c r="A897" s="29" t="str">
        <x:v>Medicine</x:v>
      </x:c>
      <x:c r="B897" s="33" t="str">
        <x:v>Arthur Kornberg</x:v>
      </x:c>
      <x:c r="C897" s="35" t="n">
        <x:v>1959</x:v>
      </x:c>
      <x:c r="D897" s="36" t="str">
        <x:v>1959</x:v>
      </x:c>
      <x:c r="E897" s="36" t="str">
        <x:v>Person</x:v>
      </x:c>
      <x:c r="F897" s="37" t="str">
        <x:v>Borderline</x:v>
      </x:c>
      <x:c r="G897" s="33" t="str">
        <x:v>Strong case for exceptional originality, but I am less certain of equivalence to the user's very high benchmark.</x:v>
      </x:c>
      <x:c r="H897" s="29" t="str">
        <x:v>Medicine roster</x:v>
      </x:c>
    </x:row>
    <x:row r="898" ht="36" customHeight="1">
      <x:c r="A898" s="29" t="str">
        <x:v>Medicine</x:v>
      </x:c>
      <x:c r="B898" s="33" t="str">
        <x:v>Severo Ochoa</x:v>
      </x:c>
      <x:c r="C898" s="35" t="n">
        <x:v>1959</x:v>
      </x:c>
      <x:c r="D898" s="36" t="str">
        <x:v>1959</x:v>
      </x:c>
      <x:c r="E898" s="36" t="str">
        <x:v>Person</x:v>
      </x:c>
      <x:c r="F898" s="37" t="str">
        <x:v>Not established here</x:v>
      </x:c>
      <x:c r="G898" s="33" t="str">
        <x:v>Not included in this affirmative shortlist. This is not a finding of non-genius.</x:v>
      </x:c>
      <x:c r="H898" s="29" t="str">
        <x:v>Medicine roster</x:v>
      </x:c>
    </x:row>
    <x:row r="899" ht="36" customHeight="1">
      <x:c r="A899" s="29" t="str">
        <x:v>Medicine</x:v>
      </x:c>
      <x:c r="B899" s="33" t="str">
        <x:v>Frank Macfarlane Burnet</x:v>
      </x:c>
      <x:c r="C899" s="35" t="n">
        <x:v>1960</x:v>
      </x:c>
      <x:c r="D899" s="36" t="str">
        <x:v>1960</x:v>
      </x:c>
      <x:c r="E899" s="36" t="str">
        <x:v>Person</x:v>
      </x:c>
      <x:c r="F899" s="37" t="str">
        <x:v>Not established here</x:v>
      </x:c>
      <x:c r="G899" s="33" t="str">
        <x:v>Not included in this affirmative shortlist. This is not a finding of non-genius.</x:v>
      </x:c>
      <x:c r="H899" s="29" t="str">
        <x:v>Medicine roster</x:v>
      </x:c>
    </x:row>
    <x:row r="900" ht="36" customHeight="1">
      <x:c r="A900" s="29" t="str">
        <x:v>Medicine</x:v>
      </x:c>
      <x:c r="B900" s="33" t="str">
        <x:v>Peter Medawar</x:v>
      </x:c>
      <x:c r="C900" s="35" t="n">
        <x:v>1960</x:v>
      </x:c>
      <x:c r="D900" s="36" t="str">
        <x:v>1960</x:v>
      </x:c>
      <x:c r="E900" s="36" t="str">
        <x:v>Person</x:v>
      </x:c>
      <x:c r="F900" s="37" t="str">
        <x:v>Borderline</x:v>
      </x:c>
      <x:c r="G900" s="33" t="str">
        <x:v>Strong case for exceptional originality, but I am less certain of equivalence to the user's very high benchmark.</x:v>
      </x:c>
      <x:c r="H900" s="29" t="str">
        <x:v>Medicine roster</x:v>
      </x:c>
    </x:row>
    <x:row r="901" ht="36" customHeight="1">
      <x:c r="A901" s="29" t="str">
        <x:v>Medicine</x:v>
      </x:c>
      <x:c r="B901" s="33" t="str">
        <x:v>Georg von Békésy</x:v>
      </x:c>
      <x:c r="C901" s="35" t="n">
        <x:v>1961</x:v>
      </x:c>
      <x:c r="D901" s="36" t="str">
        <x:v>1961</x:v>
      </x:c>
      <x:c r="E901" s="36" t="str">
        <x:v>Person</x:v>
      </x:c>
      <x:c r="F901" s="37" t="str">
        <x:v>Not established here</x:v>
      </x:c>
      <x:c r="G901" s="33" t="str">
        <x:v>Not included in this affirmative shortlist. This is not a finding of non-genius.</x:v>
      </x:c>
      <x:c r="H901" s="29" t="str">
        <x:v>Medicine roster</x:v>
      </x:c>
    </x:row>
    <x:row r="902" ht="36" customHeight="1">
      <x:c r="A902" s="29" t="str">
        <x:v>Medicine</x:v>
      </x:c>
      <x:c r="B902" s="33" t="str">
        <x:v>Francis Crick</x:v>
      </x:c>
      <x:c r="C902" s="35" t="n">
        <x:v>1962</x:v>
      </x:c>
      <x:c r="D902" s="36" t="str">
        <x:v>1962</x:v>
      </x:c>
      <x:c r="E902" s="36" t="str">
        <x:v>Person</x:v>
      </x:c>
      <x:c r="F902" s="37" t="str">
        <x:v>Clear</x:v>
      </x:c>
      <x:c r="G902" s="33" t="str">
        <x:v>Double helix, central dogma, adaptor hypothesis and genetic-code reasoning.</x:v>
      </x:c>
      <x:c r="H902" s="29" t="str">
        <x:v>Medicine roster</x:v>
      </x:c>
    </x:row>
    <x:row r="903" ht="36" customHeight="1">
      <x:c r="A903" s="29" t="str">
        <x:v>Medicine</x:v>
      </x:c>
      <x:c r="B903" s="33" t="str">
        <x:v>James Watson</x:v>
      </x:c>
      <x:c r="C903" s="35" t="n">
        <x:v>1962</x:v>
      </x:c>
      <x:c r="D903" s="36" t="str">
        <x:v>1962</x:v>
      </x:c>
      <x:c r="E903" s="36" t="str">
        <x:v>Person</x:v>
      </x:c>
      <x:c r="F903" s="37" t="str">
        <x:v>Borderline</x:v>
      </x:c>
      <x:c r="G903" s="33" t="str">
        <x:v>Strong case for exceptional originality, but I am less certain of equivalence to the user's very high benchmark.</x:v>
      </x:c>
      <x:c r="H903" s="29" t="str">
        <x:v>Medicine roster</x:v>
      </x:c>
    </x:row>
    <x:row r="904" ht="36" customHeight="1">
      <x:c r="A904" s="29" t="str">
        <x:v>Medicine</x:v>
      </x:c>
      <x:c r="B904" s="33" t="str">
        <x:v>Maurice Wilkins</x:v>
      </x:c>
      <x:c r="C904" s="35" t="n">
        <x:v>1962</x:v>
      </x:c>
      <x:c r="D904" s="36" t="str">
        <x:v>1962</x:v>
      </x:c>
      <x:c r="E904" s="36" t="str">
        <x:v>Person</x:v>
      </x:c>
      <x:c r="F904" s="37" t="str">
        <x:v>Not established here</x:v>
      </x:c>
      <x:c r="G904" s="33" t="str">
        <x:v>Not included in this affirmative shortlist. This is not a finding of non-genius.</x:v>
      </x:c>
      <x:c r="H904" s="29" t="str">
        <x:v>Medicine roster</x:v>
      </x:c>
    </x:row>
    <x:row r="905" ht="36" customHeight="1">
      <x:c r="A905" s="29" t="str">
        <x:v>Medicine</x:v>
      </x:c>
      <x:c r="B905" s="33" t="str">
        <x:v>Alan Lloyd Hodgkin</x:v>
      </x:c>
      <x:c r="C905" s="35" t="n">
        <x:v>1963</x:v>
      </x:c>
      <x:c r="D905" s="36" t="str">
        <x:v>1963</x:v>
      </x:c>
      <x:c r="E905" s="36" t="str">
        <x:v>Person</x:v>
      </x:c>
      <x:c r="F905" s="37" t="str">
        <x:v>Clear</x:v>
      </x:c>
      <x:c r="G905" s="33" t="str">
        <x:v>Quantitative mechanistic reconstruction of neural excitability.</x:v>
      </x:c>
      <x:c r="H905" s="29" t="str">
        <x:v>Medicine roster</x:v>
      </x:c>
    </x:row>
    <x:row r="906" ht="36" customHeight="1">
      <x:c r="A906" s="29" t="str">
        <x:v>Medicine</x:v>
      </x:c>
      <x:c r="B906" s="33" t="str">
        <x:v>Andrew Huxley</x:v>
      </x:c>
      <x:c r="C906" s="35" t="n">
        <x:v>1963</x:v>
      </x:c>
      <x:c r="D906" s="36" t="str">
        <x:v>1963</x:v>
      </x:c>
      <x:c r="E906" s="36" t="str">
        <x:v>Person</x:v>
      </x:c>
      <x:c r="F906" s="37" t="str">
        <x:v>Clear</x:v>
      </x:c>
      <x:c r="G906" s="33" t="str">
        <x:v>Quantitative neural and muscle physiology.</x:v>
      </x:c>
      <x:c r="H906" s="29" t="str">
        <x:v>Medicine roster</x:v>
      </x:c>
    </x:row>
    <x:row r="907" ht="36" customHeight="1">
      <x:c r="A907" s="29" t="str">
        <x:v>Medicine</x:v>
      </x:c>
      <x:c r="B907" s="33" t="str">
        <x:v>John Eccles</x:v>
      </x:c>
      <x:c r="C907" s="35" t="n">
        <x:v>1963</x:v>
      </x:c>
      <x:c r="D907" s="36" t="str">
        <x:v>1963</x:v>
      </x:c>
      <x:c r="E907" s="36" t="str">
        <x:v>Person</x:v>
      </x:c>
      <x:c r="F907" s="37" t="str">
        <x:v>Borderline</x:v>
      </x:c>
      <x:c r="G907" s="33" t="str">
        <x:v>Strong case for exceptional originality, but I am less certain of equivalence to the user's very high benchmark.</x:v>
      </x:c>
      <x:c r="H907" s="29" t="str">
        <x:v>Medicine roster</x:v>
      </x:c>
    </x:row>
    <x:row r="908" ht="36" customHeight="1">
      <x:c r="A908" s="29" t="str">
        <x:v>Medicine</x:v>
      </x:c>
      <x:c r="B908" s="33" t="str">
        <x:v>Feodor Lynen</x:v>
      </x:c>
      <x:c r="C908" s="35" t="n">
        <x:v>1964</x:v>
      </x:c>
      <x:c r="D908" s="36" t="str">
        <x:v>1964</x:v>
      </x:c>
      <x:c r="E908" s="36" t="str">
        <x:v>Person</x:v>
      </x:c>
      <x:c r="F908" s="37" t="str">
        <x:v>Not established here</x:v>
      </x:c>
      <x:c r="G908" s="33" t="str">
        <x:v>Not included in this affirmative shortlist. This is not a finding of non-genius.</x:v>
      </x:c>
      <x:c r="H908" s="29" t="str">
        <x:v>Medicine roster</x:v>
      </x:c>
    </x:row>
    <x:row r="909" ht="36" customHeight="1">
      <x:c r="A909" s="29" t="str">
        <x:v>Medicine</x:v>
      </x:c>
      <x:c r="B909" s="33" t="str">
        <x:v>Konrad Bloch</x:v>
      </x:c>
      <x:c r="C909" s="35" t="n">
        <x:v>1964</x:v>
      </x:c>
      <x:c r="D909" s="36" t="str">
        <x:v>1964</x:v>
      </x:c>
      <x:c r="E909" s="36" t="str">
        <x:v>Person</x:v>
      </x:c>
      <x:c r="F909" s="37" t="str">
        <x:v>Not established here</x:v>
      </x:c>
      <x:c r="G909" s="33" t="str">
        <x:v>Not included in this affirmative shortlist. This is not a finding of non-genius.</x:v>
      </x:c>
      <x:c r="H909" s="29" t="str">
        <x:v>Medicine roster</x:v>
      </x:c>
    </x:row>
    <x:row r="910" ht="36" customHeight="1">
      <x:c r="A910" s="29" t="str">
        <x:v>Medicine</x:v>
      </x:c>
      <x:c r="B910" s="33" t="str">
        <x:v>André Lwoff</x:v>
      </x:c>
      <x:c r="C910" s="35" t="n">
        <x:v>1965</x:v>
      </x:c>
      <x:c r="D910" s="36" t="str">
        <x:v>1965</x:v>
      </x:c>
      <x:c r="E910" s="36" t="str">
        <x:v>Person</x:v>
      </x:c>
      <x:c r="F910" s="37" t="str">
        <x:v>Not established here</x:v>
      </x:c>
      <x:c r="G910" s="33" t="str">
        <x:v>Not included in this affirmative shortlist. This is not a finding of non-genius.</x:v>
      </x:c>
      <x:c r="H910" s="29" t="str">
        <x:v>Medicine roster</x:v>
      </x:c>
    </x:row>
    <x:row r="911" ht="36" customHeight="1">
      <x:c r="A911" s="29" t="str">
        <x:v>Medicine</x:v>
      </x:c>
      <x:c r="B911" s="33" t="str">
        <x:v>François Jacob</x:v>
      </x:c>
      <x:c r="C911" s="35" t="n">
        <x:v>1965</x:v>
      </x:c>
      <x:c r="D911" s="36" t="str">
        <x:v>1965</x:v>
      </x:c>
      <x:c r="E911" s="36" t="str">
        <x:v>Person</x:v>
      </x:c>
      <x:c r="F911" s="37" t="str">
        <x:v>Clear</x:v>
      </x:c>
      <x:c r="G911" s="33" t="str">
        <x:v>Foundational conceptual reconstruction of gene regulation.</x:v>
      </x:c>
      <x:c r="H911" s="29" t="str">
        <x:v>Medicine roster</x:v>
      </x:c>
    </x:row>
    <x:row r="912" ht="36" customHeight="1">
      <x:c r="A912" s="29" t="str">
        <x:v>Medicine</x:v>
      </x:c>
      <x:c r="B912" s="33" t="str">
        <x:v>Jacques Monod</x:v>
      </x:c>
      <x:c r="C912" s="35" t="n">
        <x:v>1965</x:v>
      </x:c>
      <x:c r="D912" s="36" t="str">
        <x:v>1965</x:v>
      </x:c>
      <x:c r="E912" s="36" t="str">
        <x:v>Person</x:v>
      </x:c>
      <x:c r="F912" s="37" t="str">
        <x:v>Clear</x:v>
      </x:c>
      <x:c r="G912" s="33" t="str">
        <x:v>Gene regulation and broad theoretical biology.</x:v>
      </x:c>
      <x:c r="H912" s="29" t="str">
        <x:v>Medicine roster</x:v>
      </x:c>
    </x:row>
    <x:row r="913" ht="36" customHeight="1">
      <x:c r="A913" s="29" t="str">
        <x:v>Medicine</x:v>
      </x:c>
      <x:c r="B913" s="33" t="str">
        <x:v>Charles Brenton Huggins</x:v>
      </x:c>
      <x:c r="C913" s="35" t="n">
        <x:v>1966</x:v>
      </x:c>
      <x:c r="D913" s="36" t="str">
        <x:v>1966</x:v>
      </x:c>
      <x:c r="E913" s="36" t="str">
        <x:v>Person</x:v>
      </x:c>
      <x:c r="F913" s="37" t="str">
        <x:v>Not established here</x:v>
      </x:c>
      <x:c r="G913" s="33" t="str">
        <x:v>Not included in this affirmative shortlist. This is not a finding of non-genius.</x:v>
      </x:c>
      <x:c r="H913" s="29" t="str">
        <x:v>Medicine roster</x:v>
      </x:c>
    </x:row>
    <x:row r="914" ht="36" customHeight="1">
      <x:c r="A914" s="29" t="str">
        <x:v>Medicine</x:v>
      </x:c>
      <x:c r="B914" s="33" t="str">
        <x:v>Peyton Rous</x:v>
      </x:c>
      <x:c r="C914" s="35" t="n">
        <x:v>1966</x:v>
      </x:c>
      <x:c r="D914" s="36" t="str">
        <x:v>1966</x:v>
      </x:c>
      <x:c r="E914" s="36" t="str">
        <x:v>Person</x:v>
      </x:c>
      <x:c r="F914" s="37" t="str">
        <x:v>Not established here</x:v>
      </x:c>
      <x:c r="G914" s="33" t="str">
        <x:v>Not included in this affirmative shortlist. This is not a finding of non-genius.</x:v>
      </x:c>
      <x:c r="H914" s="29" t="str">
        <x:v>Medicine roster</x:v>
      </x:c>
    </x:row>
    <x:row r="915" ht="36" customHeight="1">
      <x:c r="A915" s="29" t="str">
        <x:v>Medicine</x:v>
      </x:c>
      <x:c r="B915" s="33" t="str">
        <x:v>George Wald</x:v>
      </x:c>
      <x:c r="C915" s="35" t="n">
        <x:v>1967</x:v>
      </x:c>
      <x:c r="D915" s="36" t="str">
        <x:v>1967</x:v>
      </x:c>
      <x:c r="E915" s="36" t="str">
        <x:v>Person</x:v>
      </x:c>
      <x:c r="F915" s="37" t="str">
        <x:v>Not established here</x:v>
      </x:c>
      <x:c r="G915" s="33" t="str">
        <x:v>Not included in this affirmative shortlist. This is not a finding of non-genius.</x:v>
      </x:c>
      <x:c r="H915" s="29" t="str">
        <x:v>Medicine roster</x:v>
      </x:c>
    </x:row>
    <x:row r="916" ht="36" customHeight="1">
      <x:c r="A916" s="29" t="str">
        <x:v>Medicine</x:v>
      </x:c>
      <x:c r="B916" s="33" t="str">
        <x:v>Haldan Keffer Hartline</x:v>
      </x:c>
      <x:c r="C916" s="35" t="n">
        <x:v>1967</x:v>
      </x:c>
      <x:c r="D916" s="36" t="str">
        <x:v>1967</x:v>
      </x:c>
      <x:c r="E916" s="36" t="str">
        <x:v>Person</x:v>
      </x:c>
      <x:c r="F916" s="37" t="str">
        <x:v>Not established here</x:v>
      </x:c>
      <x:c r="G916" s="33" t="str">
        <x:v>Not included in this affirmative shortlist. This is not a finding of non-genius.</x:v>
      </x:c>
      <x:c r="H916" s="29" t="str">
        <x:v>Medicine roster</x:v>
      </x:c>
    </x:row>
    <x:row r="917" ht="36" customHeight="1">
      <x:c r="A917" s="29" t="str">
        <x:v>Medicine</x:v>
      </x:c>
      <x:c r="B917" s="33" t="str">
        <x:v>Ragnar Granit</x:v>
      </x:c>
      <x:c r="C917" s="35" t="n">
        <x:v>1967</x:v>
      </x:c>
      <x:c r="D917" s="36" t="str">
        <x:v>1967</x:v>
      </x:c>
      <x:c r="E917" s="36" t="str">
        <x:v>Person</x:v>
      </x:c>
      <x:c r="F917" s="37" t="str">
        <x:v>Not established here</x:v>
      </x:c>
      <x:c r="G917" s="33" t="str">
        <x:v>Not included in this affirmative shortlist. This is not a finding of non-genius.</x:v>
      </x:c>
      <x:c r="H917" s="29" t="str">
        <x:v>Medicine roster</x:v>
      </x:c>
    </x:row>
    <x:row r="918" ht="36" customHeight="1">
      <x:c r="A918" s="29" t="str">
        <x:v>Medicine</x:v>
      </x:c>
      <x:c r="B918" s="33" t="str">
        <x:v>Har Gobind Khorana</x:v>
      </x:c>
      <x:c r="C918" s="35" t="n">
        <x:v>1968</x:v>
      </x:c>
      <x:c r="D918" s="36" t="str">
        <x:v>1968</x:v>
      </x:c>
      <x:c r="E918" s="36" t="str">
        <x:v>Person</x:v>
      </x:c>
      <x:c r="F918" s="37" t="str">
        <x:v>Borderline</x:v>
      </x:c>
      <x:c r="G918" s="33" t="str">
        <x:v>Strong case for exceptional originality, but I am less certain of equivalence to the user's very high benchmark.</x:v>
      </x:c>
      <x:c r="H918" s="29" t="str">
        <x:v>Medicine roster</x:v>
      </x:c>
    </x:row>
    <x:row r="919" ht="36" customHeight="1">
      <x:c r="A919" s="29" t="str">
        <x:v>Medicine</x:v>
      </x:c>
      <x:c r="B919" s="33" t="str">
        <x:v>Marshall Nirenberg</x:v>
      </x:c>
      <x:c r="C919" s="35" t="n">
        <x:v>1968</x:v>
      </x:c>
      <x:c r="D919" s="36" t="str">
        <x:v>1968</x:v>
      </x:c>
      <x:c r="E919" s="36" t="str">
        <x:v>Person</x:v>
      </x:c>
      <x:c r="F919" s="37" t="str">
        <x:v>Borderline</x:v>
      </x:c>
      <x:c r="G919" s="33" t="str">
        <x:v>Strong case for exceptional originality, but I am less certain of equivalence to the user's very high benchmark.</x:v>
      </x:c>
      <x:c r="H919" s="29" t="str">
        <x:v>Medicine roster</x:v>
      </x:c>
    </x:row>
    <x:row r="920" ht="36" customHeight="1">
      <x:c r="A920" s="29" t="str">
        <x:v>Medicine</x:v>
      </x:c>
      <x:c r="B920" s="33" t="str">
        <x:v>Robert W. Holley</x:v>
      </x:c>
      <x:c r="C920" s="35" t="n">
        <x:v>1968</x:v>
      </x:c>
      <x:c r="D920" s="36" t="str">
        <x:v>1968</x:v>
      </x:c>
      <x:c r="E920" s="36" t="str">
        <x:v>Person</x:v>
      </x:c>
      <x:c r="F920" s="37" t="str">
        <x:v>Not established here</x:v>
      </x:c>
      <x:c r="G920" s="33" t="str">
        <x:v>Not included in this affirmative shortlist. This is not a finding of non-genius.</x:v>
      </x:c>
      <x:c r="H920" s="29" t="str">
        <x:v>Medicine roster</x:v>
      </x:c>
    </x:row>
    <x:row r="921" ht="36" customHeight="1">
      <x:c r="A921" s="29" t="str">
        <x:v>Medicine</x:v>
      </x:c>
      <x:c r="B921" s="33" t="str">
        <x:v>Alfred Hershey</x:v>
      </x:c>
      <x:c r="C921" s="35" t="n">
        <x:v>1969</x:v>
      </x:c>
      <x:c r="D921" s="36" t="str">
        <x:v>1969</x:v>
      </x:c>
      <x:c r="E921" s="36" t="str">
        <x:v>Person</x:v>
      </x:c>
      <x:c r="F921" s="37" t="str">
        <x:v>Not established here</x:v>
      </x:c>
      <x:c r="G921" s="33" t="str">
        <x:v>Not included in this affirmative shortlist. This is not a finding of non-genius.</x:v>
      </x:c>
      <x:c r="H921" s="29" t="str">
        <x:v>Medicine roster</x:v>
      </x:c>
    </x:row>
    <x:row r="922" ht="36" customHeight="1">
      <x:c r="A922" s="29" t="str">
        <x:v>Medicine</x:v>
      </x:c>
      <x:c r="B922" s="33" t="str">
        <x:v>Max Delbrück</x:v>
      </x:c>
      <x:c r="C922" s="35" t="n">
        <x:v>1969</x:v>
      </x:c>
      <x:c r="D922" s="36" t="str">
        <x:v>1969</x:v>
      </x:c>
      <x:c r="E922" s="36" t="str">
        <x:v>Person</x:v>
      </x:c>
      <x:c r="F922" s="37" t="str">
        <x:v>Clear</x:v>
      </x:c>
      <x:c r="G922" s="33" t="str">
        <x:v>Created a powerful conceptual and experimental approach to molecular genetics.</x:v>
      </x:c>
      <x:c r="H922" s="29" t="str">
        <x:v>Medicine roster</x:v>
      </x:c>
    </x:row>
    <x:row r="923" ht="36" customHeight="1">
      <x:c r="A923" s="29" t="str">
        <x:v>Medicine</x:v>
      </x:c>
      <x:c r="B923" s="33" t="str">
        <x:v>Salvador Luria</x:v>
      </x:c>
      <x:c r="C923" s="35" t="n">
        <x:v>1969</x:v>
      </x:c>
      <x:c r="D923" s="36" t="str">
        <x:v>1969</x:v>
      </x:c>
      <x:c r="E923" s="36" t="str">
        <x:v>Person</x:v>
      </x:c>
      <x:c r="F923" s="37" t="str">
        <x:v>Not established here</x:v>
      </x:c>
      <x:c r="G923" s="33" t="str">
        <x:v>Not included in this affirmative shortlist. This is not a finding of non-genius.</x:v>
      </x:c>
      <x:c r="H923" s="29" t="str">
        <x:v>Medicine roster</x:v>
      </x:c>
    </x:row>
    <x:row r="924" ht="36" customHeight="1">
      <x:c r="A924" s="29" t="str">
        <x:v>Medicine</x:v>
      </x:c>
      <x:c r="B924" s="33" t="str">
        <x:v>Bernard Katz</x:v>
      </x:c>
      <x:c r="C924" s="35" t="n">
        <x:v>1970</x:v>
      </x:c>
      <x:c r="D924" s="36" t="str">
        <x:v>1970</x:v>
      </x:c>
      <x:c r="E924" s="36" t="str">
        <x:v>Person</x:v>
      </x:c>
      <x:c r="F924" s="37" t="str">
        <x:v>Not established here</x:v>
      </x:c>
      <x:c r="G924" s="33" t="str">
        <x:v>Not included in this affirmative shortlist. This is not a finding of non-genius.</x:v>
      </x:c>
      <x:c r="H924" s="29" t="str">
        <x:v>Medicine roster</x:v>
      </x:c>
    </x:row>
    <x:row r="925" ht="36" customHeight="1">
      <x:c r="A925" s="29" t="str">
        <x:v>Medicine</x:v>
      </x:c>
      <x:c r="B925" s="33" t="str">
        <x:v>Julius Axelrod</x:v>
      </x:c>
      <x:c r="C925" s="35" t="n">
        <x:v>1970</x:v>
      </x:c>
      <x:c r="D925" s="36" t="str">
        <x:v>1970</x:v>
      </x:c>
      <x:c r="E925" s="36" t="str">
        <x:v>Person</x:v>
      </x:c>
      <x:c r="F925" s="37" t="str">
        <x:v>Not established here</x:v>
      </x:c>
      <x:c r="G925" s="33" t="str">
        <x:v>Not included in this affirmative shortlist. This is not a finding of non-genius.</x:v>
      </x:c>
      <x:c r="H925" s="29" t="str">
        <x:v>Medicine roster</x:v>
      </x:c>
    </x:row>
    <x:row r="926" ht="36" customHeight="1">
      <x:c r="A926" s="29" t="str">
        <x:v>Medicine</x:v>
      </x:c>
      <x:c r="B926" s="33" t="str">
        <x:v>Ulf von Euler</x:v>
      </x:c>
      <x:c r="C926" s="35" t="n">
        <x:v>1970</x:v>
      </x:c>
      <x:c r="D926" s="36" t="str">
        <x:v>1970</x:v>
      </x:c>
      <x:c r="E926" s="36" t="str">
        <x:v>Person</x:v>
      </x:c>
      <x:c r="F926" s="37" t="str">
        <x:v>Not established here</x:v>
      </x:c>
      <x:c r="G926" s="33" t="str">
        <x:v>Not included in this affirmative shortlist. This is not a finding of non-genius.</x:v>
      </x:c>
      <x:c r="H926" s="29" t="str">
        <x:v>Medicine roster</x:v>
      </x:c>
    </x:row>
    <x:row r="927" ht="36" customHeight="1">
      <x:c r="A927" s="29" t="str">
        <x:v>Medicine</x:v>
      </x:c>
      <x:c r="B927" s="33" t="str">
        <x:v>Earl Sutherland</x:v>
      </x:c>
      <x:c r="C927" s="35" t="n">
        <x:v>1971</x:v>
      </x:c>
      <x:c r="D927" s="36" t="str">
        <x:v>1971</x:v>
      </x:c>
      <x:c r="E927" s="36" t="str">
        <x:v>Person</x:v>
      </x:c>
      <x:c r="F927" s="37" t="str">
        <x:v>Not established here</x:v>
      </x:c>
      <x:c r="G927" s="33" t="str">
        <x:v>Not included in this affirmative shortlist. This is not a finding of non-genius.</x:v>
      </x:c>
      <x:c r="H927" s="29" t="str">
        <x:v>Medicine roster</x:v>
      </x:c>
    </x:row>
    <x:row r="928" ht="36" customHeight="1">
      <x:c r="A928" s="29" t="str">
        <x:v>Medicine</x:v>
      </x:c>
      <x:c r="B928" s="33" t="str">
        <x:v>Gerald Edelman</x:v>
      </x:c>
      <x:c r="C928" s="35" t="n">
        <x:v>1972</x:v>
      </x:c>
      <x:c r="D928" s="36" t="str">
        <x:v>1972</x:v>
      </x:c>
      <x:c r="E928" s="36" t="str">
        <x:v>Person</x:v>
      </x:c>
      <x:c r="F928" s="37" t="str">
        <x:v>Borderline</x:v>
      </x:c>
      <x:c r="G928" s="33" t="str">
        <x:v>Strong case for exceptional originality, but I am less certain of equivalence to the user's very high benchmark.</x:v>
      </x:c>
      <x:c r="H928" s="29" t="str">
        <x:v>Medicine roster</x:v>
      </x:c>
    </x:row>
    <x:row r="929" ht="36" customHeight="1">
      <x:c r="A929" s="29" t="str">
        <x:v>Medicine</x:v>
      </x:c>
      <x:c r="B929" s="33" t="str">
        <x:v>Rodney Porter</x:v>
      </x:c>
      <x:c r="C929" s="35" t="n">
        <x:v>1972</x:v>
      </x:c>
      <x:c r="D929" s="36" t="str">
        <x:v>1972</x:v>
      </x:c>
      <x:c r="E929" s="36" t="str">
        <x:v>Person</x:v>
      </x:c>
      <x:c r="F929" s="37" t="str">
        <x:v>Not established here</x:v>
      </x:c>
      <x:c r="G929" s="33" t="str">
        <x:v>Not included in this affirmative shortlist. This is not a finding of non-genius.</x:v>
      </x:c>
      <x:c r="H929" s="29" t="str">
        <x:v>Medicine roster</x:v>
      </x:c>
    </x:row>
    <x:row r="930" ht="36" customHeight="1">
      <x:c r="A930" s="29" t="str">
        <x:v>Medicine</x:v>
      </x:c>
      <x:c r="B930" s="33" t="str">
        <x:v>Karl von Frisch</x:v>
      </x:c>
      <x:c r="C930" s="35" t="n">
        <x:v>1973</x:v>
      </x:c>
      <x:c r="D930" s="36" t="str">
        <x:v>1973</x:v>
      </x:c>
      <x:c r="E930" s="36" t="str">
        <x:v>Person</x:v>
      </x:c>
      <x:c r="F930" s="37" t="str">
        <x:v>Not established here</x:v>
      </x:c>
      <x:c r="G930" s="33" t="str">
        <x:v>Not included in this affirmative shortlist. This is not a finding of non-genius.</x:v>
      </x:c>
      <x:c r="H930" s="29" t="str">
        <x:v>Medicine roster</x:v>
      </x:c>
    </x:row>
    <x:row r="931" ht="36" customHeight="1">
      <x:c r="A931" s="29" t="str">
        <x:v>Medicine</x:v>
      </x:c>
      <x:c r="B931" s="33" t="str">
        <x:v>Konrad Lorenz</x:v>
      </x:c>
      <x:c r="C931" s="35" t="n">
        <x:v>1973</x:v>
      </x:c>
      <x:c r="D931" s="36" t="str">
        <x:v>1973</x:v>
      </x:c>
      <x:c r="E931" s="36" t="str">
        <x:v>Person</x:v>
      </x:c>
      <x:c r="F931" s="37" t="str">
        <x:v>Not established here</x:v>
      </x:c>
      <x:c r="G931" s="33" t="str">
        <x:v>Not included in this affirmative shortlist. This is not a finding of non-genius.</x:v>
      </x:c>
      <x:c r="H931" s="29" t="str">
        <x:v>Medicine roster</x:v>
      </x:c>
    </x:row>
    <x:row r="932" ht="36" customHeight="1">
      <x:c r="A932" s="29" t="str">
        <x:v>Medicine</x:v>
      </x:c>
      <x:c r="B932" s="33" t="str">
        <x:v>Nikolaas Tinbergen</x:v>
      </x:c>
      <x:c r="C932" s="35" t="n">
        <x:v>1973</x:v>
      </x:c>
      <x:c r="D932" s="36" t="str">
        <x:v>1973</x:v>
      </x:c>
      <x:c r="E932" s="36" t="str">
        <x:v>Person</x:v>
      </x:c>
      <x:c r="F932" s="37" t="str">
        <x:v>Not established here</x:v>
      </x:c>
      <x:c r="G932" s="33" t="str">
        <x:v>Not included in this affirmative shortlist. This is not a finding of non-genius.</x:v>
      </x:c>
      <x:c r="H932" s="29" t="str">
        <x:v>Medicine roster</x:v>
      </x:c>
    </x:row>
    <x:row r="933" ht="36" customHeight="1">
      <x:c r="A933" s="29" t="str">
        <x:v>Medicine</x:v>
      </x:c>
      <x:c r="B933" s="33" t="str">
        <x:v>Albert Claude</x:v>
      </x:c>
      <x:c r="C933" s="35" t="n">
        <x:v>1974</x:v>
      </x:c>
      <x:c r="D933" s="36" t="str">
        <x:v>1974</x:v>
      </x:c>
      <x:c r="E933" s="36" t="str">
        <x:v>Person</x:v>
      </x:c>
      <x:c r="F933" s="37" t="str">
        <x:v>Not established here</x:v>
      </x:c>
      <x:c r="G933" s="33" t="str">
        <x:v>Not included in this affirmative shortlist. This is not a finding of non-genius.</x:v>
      </x:c>
      <x:c r="H933" s="29" t="str">
        <x:v>Medicine roster</x:v>
      </x:c>
    </x:row>
    <x:row r="934" ht="36" customHeight="1">
      <x:c r="A934" s="29" t="str">
        <x:v>Medicine</x:v>
      </x:c>
      <x:c r="B934" s="33" t="str">
        <x:v>Christian de Duve</x:v>
      </x:c>
      <x:c r="C934" s="35" t="n">
        <x:v>1974</x:v>
      </x:c>
      <x:c r="D934" s="36" t="str">
        <x:v>1974</x:v>
      </x:c>
      <x:c r="E934" s="36" t="str">
        <x:v>Person</x:v>
      </x:c>
      <x:c r="F934" s="37" t="str">
        <x:v>Not established here</x:v>
      </x:c>
      <x:c r="G934" s="33" t="str">
        <x:v>Not included in this affirmative shortlist. This is not a finding of non-genius.</x:v>
      </x:c>
      <x:c r="H934" s="29" t="str">
        <x:v>Medicine roster</x:v>
      </x:c>
    </x:row>
    <x:row r="935" ht="36" customHeight="1">
      <x:c r="A935" s="29" t="str">
        <x:v>Medicine</x:v>
      </x:c>
      <x:c r="B935" s="33" t="str">
        <x:v>George Palade</x:v>
      </x:c>
      <x:c r="C935" s="35" t="n">
        <x:v>1974</x:v>
      </x:c>
      <x:c r="D935" s="36" t="str">
        <x:v>1974</x:v>
      </x:c>
      <x:c r="E935" s="36" t="str">
        <x:v>Person</x:v>
      </x:c>
      <x:c r="F935" s="37" t="str">
        <x:v>Not established here</x:v>
      </x:c>
      <x:c r="G935" s="33" t="str">
        <x:v>Not included in this affirmative shortlist. This is not a finding of non-genius.</x:v>
      </x:c>
      <x:c r="H935" s="29" t="str">
        <x:v>Medicine roster</x:v>
      </x:c>
    </x:row>
    <x:row r="936" ht="36" customHeight="1">
      <x:c r="A936" s="29" t="str">
        <x:v>Medicine</x:v>
      </x:c>
      <x:c r="B936" s="33" t="str">
        <x:v>David Baltimore</x:v>
      </x:c>
      <x:c r="C936" s="35" t="n">
        <x:v>1975</x:v>
      </x:c>
      <x:c r="D936" s="36" t="str">
        <x:v>1975</x:v>
      </x:c>
      <x:c r="E936" s="36" t="str">
        <x:v>Person</x:v>
      </x:c>
      <x:c r="F936" s="37" t="str">
        <x:v>Borderline</x:v>
      </x:c>
      <x:c r="G936" s="33" t="str">
        <x:v>Strong case for exceptional originality, but I am less certain of equivalence to the user's very high benchmark.</x:v>
      </x:c>
      <x:c r="H936" s="29" t="str">
        <x:v>Medicine roster</x:v>
      </x:c>
    </x:row>
    <x:row r="937" ht="36" customHeight="1">
      <x:c r="A937" s="29" t="str">
        <x:v>Medicine</x:v>
      </x:c>
      <x:c r="B937" s="33" t="str">
        <x:v>Howard Martin Temin</x:v>
      </x:c>
      <x:c r="C937" s="35" t="n">
        <x:v>1975</x:v>
      </x:c>
      <x:c r="D937" s="36" t="str">
        <x:v>1975</x:v>
      </x:c>
      <x:c r="E937" s="36" t="str">
        <x:v>Person</x:v>
      </x:c>
      <x:c r="F937" s="37" t="str">
        <x:v>Not established here</x:v>
      </x:c>
      <x:c r="G937" s="33" t="str">
        <x:v>Not included in this affirmative shortlist. This is not a finding of non-genius.</x:v>
      </x:c>
      <x:c r="H937" s="29" t="str">
        <x:v>Medicine roster</x:v>
      </x:c>
    </x:row>
    <x:row r="938" ht="36" customHeight="1">
      <x:c r="A938" s="29" t="str">
        <x:v>Medicine</x:v>
      </x:c>
      <x:c r="B938" s="33" t="str">
        <x:v>Renato Dulbecco</x:v>
      </x:c>
      <x:c r="C938" s="35" t="n">
        <x:v>1975</x:v>
      </x:c>
      <x:c r="D938" s="36" t="str">
        <x:v>1975</x:v>
      </x:c>
      <x:c r="E938" s="36" t="str">
        <x:v>Person</x:v>
      </x:c>
      <x:c r="F938" s="37" t="str">
        <x:v>Not established here</x:v>
      </x:c>
      <x:c r="G938" s="33" t="str">
        <x:v>Not included in this affirmative shortlist. This is not a finding of non-genius.</x:v>
      </x:c>
      <x:c r="H938" s="29" t="str">
        <x:v>Medicine roster</x:v>
      </x:c>
    </x:row>
    <x:row r="939" ht="36" customHeight="1">
      <x:c r="A939" s="29" t="str">
        <x:v>Medicine</x:v>
      </x:c>
      <x:c r="B939" s="33" t="str">
        <x:v>Baruch Samuel Blumberg</x:v>
      </x:c>
      <x:c r="C939" s="35" t="n">
        <x:v>1976</x:v>
      </x:c>
      <x:c r="D939" s="36" t="str">
        <x:v>1976</x:v>
      </x:c>
      <x:c r="E939" s="36" t="str">
        <x:v>Person</x:v>
      </x:c>
      <x:c r="F939" s="37" t="str">
        <x:v>Not established here</x:v>
      </x:c>
      <x:c r="G939" s="33" t="str">
        <x:v>Not included in this affirmative shortlist. This is not a finding of non-genius.</x:v>
      </x:c>
      <x:c r="H939" s="29" t="str">
        <x:v>Medicine roster</x:v>
      </x:c>
    </x:row>
    <x:row r="940" ht="36" customHeight="1">
      <x:c r="A940" s="29" t="str">
        <x:v>Medicine</x:v>
      </x:c>
      <x:c r="B940" s="33" t="str">
        <x:v>Carleton Gajdusek</x:v>
      </x:c>
      <x:c r="C940" s="35" t="n">
        <x:v>1976</x:v>
      </x:c>
      <x:c r="D940" s="36" t="str">
        <x:v>1976</x:v>
      </x:c>
      <x:c r="E940" s="36" t="str">
        <x:v>Person</x:v>
      </x:c>
      <x:c r="F940" s="37" t="str">
        <x:v>Not established here</x:v>
      </x:c>
      <x:c r="G940" s="33" t="str">
        <x:v>Not included in this affirmative shortlist. This is not a finding of non-genius.</x:v>
      </x:c>
      <x:c r="H940" s="29" t="str">
        <x:v>Medicine roster</x:v>
      </x:c>
    </x:row>
    <x:row r="941" ht="36" customHeight="1">
      <x:c r="A941" s="29" t="str">
        <x:v>Medicine</x:v>
      </x:c>
      <x:c r="B941" s="33" t="str">
        <x:v>Andrew Schally</x:v>
      </x:c>
      <x:c r="C941" s="35" t="n">
        <x:v>1977</x:v>
      </x:c>
      <x:c r="D941" s="36" t="str">
        <x:v>1977</x:v>
      </x:c>
      <x:c r="E941" s="36" t="str">
        <x:v>Person</x:v>
      </x:c>
      <x:c r="F941" s="37" t="str">
        <x:v>Not established here</x:v>
      </x:c>
      <x:c r="G941" s="33" t="str">
        <x:v>Not included in this affirmative shortlist. This is not a finding of non-genius.</x:v>
      </x:c>
      <x:c r="H941" s="29" t="str">
        <x:v>Medicine roster</x:v>
      </x:c>
    </x:row>
    <x:row r="942" ht="36" customHeight="1">
      <x:c r="A942" s="29" t="str">
        <x:v>Medicine</x:v>
      </x:c>
      <x:c r="B942" s="33" t="str">
        <x:v>Roger Guillemin</x:v>
      </x:c>
      <x:c r="C942" s="35" t="n">
        <x:v>1977</x:v>
      </x:c>
      <x:c r="D942" s="36" t="str">
        <x:v>1977</x:v>
      </x:c>
      <x:c r="E942" s="36" t="str">
        <x:v>Person</x:v>
      </x:c>
      <x:c r="F942" s="37" t="str">
        <x:v>Not established here</x:v>
      </x:c>
      <x:c r="G942" s="33" t="str">
        <x:v>Not included in this affirmative shortlist. This is not a finding of non-genius.</x:v>
      </x:c>
      <x:c r="H942" s="29" t="str">
        <x:v>Medicine roster</x:v>
      </x:c>
    </x:row>
    <x:row r="943" ht="36" customHeight="1">
      <x:c r="A943" s="29" t="str">
        <x:v>Medicine</x:v>
      </x:c>
      <x:c r="B943" s="33" t="str">
        <x:v>Rosalyn Yalow</x:v>
      </x:c>
      <x:c r="C943" s="35" t="n">
        <x:v>1977</x:v>
      </x:c>
      <x:c r="D943" s="36" t="str">
        <x:v>1977</x:v>
      </x:c>
      <x:c r="E943" s="36" t="str">
        <x:v>Person</x:v>
      </x:c>
      <x:c r="F943" s="37" t="str">
        <x:v>Not established here</x:v>
      </x:c>
      <x:c r="G943" s="33" t="str">
        <x:v>Not included in this affirmative shortlist. This is not a finding of non-genius.</x:v>
      </x:c>
      <x:c r="H943" s="29" t="str">
        <x:v>Medicine roster</x:v>
      </x:c>
    </x:row>
    <x:row r="944" ht="36" customHeight="1">
      <x:c r="A944" s="29" t="str">
        <x:v>Medicine</x:v>
      </x:c>
      <x:c r="B944" s="33" t="str">
        <x:v>Daniel Nathans</x:v>
      </x:c>
      <x:c r="C944" s="35" t="n">
        <x:v>1978</x:v>
      </x:c>
      <x:c r="D944" s="36" t="str">
        <x:v>1978</x:v>
      </x:c>
      <x:c r="E944" s="36" t="str">
        <x:v>Person</x:v>
      </x:c>
      <x:c r="F944" s="37" t="str">
        <x:v>Not established here</x:v>
      </x:c>
      <x:c r="G944" s="33" t="str">
        <x:v>Not included in this affirmative shortlist. This is not a finding of non-genius.</x:v>
      </x:c>
      <x:c r="H944" s="29" t="str">
        <x:v>Medicine roster</x:v>
      </x:c>
    </x:row>
    <x:row r="945" ht="36" customHeight="1">
      <x:c r="A945" s="29" t="str">
        <x:v>Medicine</x:v>
      </x:c>
      <x:c r="B945" s="33" t="str">
        <x:v>Hamilton O. Smith</x:v>
      </x:c>
      <x:c r="C945" s="35" t="n">
        <x:v>1978</x:v>
      </x:c>
      <x:c r="D945" s="36" t="str">
        <x:v>1978</x:v>
      </x:c>
      <x:c r="E945" s="36" t="str">
        <x:v>Person</x:v>
      </x:c>
      <x:c r="F945" s="37" t="str">
        <x:v>Not established here</x:v>
      </x:c>
      <x:c r="G945" s="33" t="str">
        <x:v>Not included in this affirmative shortlist. This is not a finding of non-genius.</x:v>
      </x:c>
      <x:c r="H945" s="29" t="str">
        <x:v>Medicine roster</x:v>
      </x:c>
    </x:row>
    <x:row r="946" ht="36" customHeight="1">
      <x:c r="A946" s="29" t="str">
        <x:v>Medicine</x:v>
      </x:c>
      <x:c r="B946" s="33" t="str">
        <x:v>Werner Arber</x:v>
      </x:c>
      <x:c r="C946" s="35" t="n">
        <x:v>1978</x:v>
      </x:c>
      <x:c r="D946" s="36" t="str">
        <x:v>1978</x:v>
      </x:c>
      <x:c r="E946" s="36" t="str">
        <x:v>Person</x:v>
      </x:c>
      <x:c r="F946" s="37" t="str">
        <x:v>Not established here</x:v>
      </x:c>
      <x:c r="G946" s="33" t="str">
        <x:v>Not included in this affirmative shortlist. This is not a finding of non-genius.</x:v>
      </x:c>
      <x:c r="H946" s="29" t="str">
        <x:v>Medicine roster</x:v>
      </x:c>
    </x:row>
    <x:row r="947" ht="36" customHeight="1">
      <x:c r="A947" s="29" t="str">
        <x:v>Medicine</x:v>
      </x:c>
      <x:c r="B947" s="33" t="str">
        <x:v>Allan Cormack</x:v>
      </x:c>
      <x:c r="C947" s="35" t="n">
        <x:v>1979</x:v>
      </x:c>
      <x:c r="D947" s="36" t="str">
        <x:v>1979</x:v>
      </x:c>
      <x:c r="E947" s="36" t="str">
        <x:v>Person</x:v>
      </x:c>
      <x:c r="F947" s="37" t="str">
        <x:v>Not established here</x:v>
      </x:c>
      <x:c r="G947" s="33" t="str">
        <x:v>Not included in this affirmative shortlist. This is not a finding of non-genius.</x:v>
      </x:c>
      <x:c r="H947" s="29" t="str">
        <x:v>Medicine roster</x:v>
      </x:c>
    </x:row>
    <x:row r="948" ht="36" customHeight="1">
      <x:c r="A948" s="29" t="str">
        <x:v>Medicine</x:v>
      </x:c>
      <x:c r="B948" s="33" t="str">
        <x:v>Godfrey Hounsfield</x:v>
      </x:c>
      <x:c r="C948" s="35" t="n">
        <x:v>1979</x:v>
      </x:c>
      <x:c r="D948" s="36" t="str">
        <x:v>1979</x:v>
      </x:c>
      <x:c r="E948" s="36" t="str">
        <x:v>Person</x:v>
      </x:c>
      <x:c r="F948" s="37" t="str">
        <x:v>Not established here</x:v>
      </x:c>
      <x:c r="G948" s="33" t="str">
        <x:v>Not included in this affirmative shortlist. This is not a finding of non-genius.</x:v>
      </x:c>
      <x:c r="H948" s="29" t="str">
        <x:v>Medicine roster</x:v>
      </x:c>
    </x:row>
    <x:row r="949" ht="36" customHeight="1">
      <x:c r="A949" s="29" t="str">
        <x:v>Medicine</x:v>
      </x:c>
      <x:c r="B949" s="33" t="str">
        <x:v>Baruj Benacerraf</x:v>
      </x:c>
      <x:c r="C949" s="35" t="n">
        <x:v>1980</x:v>
      </x:c>
      <x:c r="D949" s="36" t="str">
        <x:v>1980</x:v>
      </x:c>
      <x:c r="E949" s="36" t="str">
        <x:v>Person</x:v>
      </x:c>
      <x:c r="F949" s="37" t="str">
        <x:v>Not established here</x:v>
      </x:c>
      <x:c r="G949" s="33" t="str">
        <x:v>Not included in this affirmative shortlist. This is not a finding of non-genius.</x:v>
      </x:c>
      <x:c r="H949" s="29" t="str">
        <x:v>Medicine roster</x:v>
      </x:c>
    </x:row>
    <x:row r="950" ht="36" customHeight="1">
      <x:c r="A950" s="29" t="str">
        <x:v>Medicine</x:v>
      </x:c>
      <x:c r="B950" s="33" t="str">
        <x:v>George Snell</x:v>
      </x:c>
      <x:c r="C950" s="35" t="n">
        <x:v>1980</x:v>
      </x:c>
      <x:c r="D950" s="36" t="str">
        <x:v>1980</x:v>
      </x:c>
      <x:c r="E950" s="36" t="str">
        <x:v>Person</x:v>
      </x:c>
      <x:c r="F950" s="37" t="str">
        <x:v>Not established here</x:v>
      </x:c>
      <x:c r="G950" s="33" t="str">
        <x:v>Not included in this affirmative shortlist. This is not a finding of non-genius.</x:v>
      </x:c>
      <x:c r="H950" s="29" t="str">
        <x:v>Medicine roster</x:v>
      </x:c>
    </x:row>
    <x:row r="951" ht="36" customHeight="1">
      <x:c r="A951" s="29" t="str">
        <x:v>Medicine</x:v>
      </x:c>
      <x:c r="B951" s="33" t="str">
        <x:v>Jean Dausset</x:v>
      </x:c>
      <x:c r="C951" s="35" t="n">
        <x:v>1980</x:v>
      </x:c>
      <x:c r="D951" s="36" t="str">
        <x:v>1980</x:v>
      </x:c>
      <x:c r="E951" s="36" t="str">
        <x:v>Person</x:v>
      </x:c>
      <x:c r="F951" s="37" t="str">
        <x:v>Not established here</x:v>
      </x:c>
      <x:c r="G951" s="33" t="str">
        <x:v>Not included in this affirmative shortlist. This is not a finding of non-genius.</x:v>
      </x:c>
      <x:c r="H951" s="29" t="str">
        <x:v>Medicine roster</x:v>
      </x:c>
    </x:row>
    <x:row r="952" ht="36" customHeight="1">
      <x:c r="A952" s="29" t="str">
        <x:v>Medicine</x:v>
      </x:c>
      <x:c r="B952" s="33" t="str">
        <x:v>David H. Hubel</x:v>
      </x:c>
      <x:c r="C952" s="35" t="n">
        <x:v>1981</x:v>
      </x:c>
      <x:c r="D952" s="36" t="str">
        <x:v>1981</x:v>
      </x:c>
      <x:c r="E952" s="36" t="str">
        <x:v>Person</x:v>
      </x:c>
      <x:c r="F952" s="37" t="str">
        <x:v>Not established here</x:v>
      </x:c>
      <x:c r="G952" s="33" t="str">
        <x:v>Not included in this affirmative shortlist. This is not a finding of non-genius.</x:v>
      </x:c>
      <x:c r="H952" s="29" t="str">
        <x:v>Medicine roster</x:v>
      </x:c>
    </x:row>
    <x:row r="953" ht="36" customHeight="1">
      <x:c r="A953" s="29" t="str">
        <x:v>Medicine</x:v>
      </x:c>
      <x:c r="B953" s="33" t="str">
        <x:v>Roger Sperry</x:v>
      </x:c>
      <x:c r="C953" s="35" t="n">
        <x:v>1981</x:v>
      </x:c>
      <x:c r="D953" s="36" t="str">
        <x:v>1981</x:v>
      </x:c>
      <x:c r="E953" s="36" t="str">
        <x:v>Person</x:v>
      </x:c>
      <x:c r="F953" s="37" t="str">
        <x:v>Borderline</x:v>
      </x:c>
      <x:c r="G953" s="33" t="str">
        <x:v>Strong case for exceptional originality, but I am less certain of equivalence to the user's very high benchmark.</x:v>
      </x:c>
      <x:c r="H953" s="29" t="str">
        <x:v>Medicine roster</x:v>
      </x:c>
    </x:row>
    <x:row r="954" ht="36" customHeight="1">
      <x:c r="A954" s="29" t="str">
        <x:v>Medicine</x:v>
      </x:c>
      <x:c r="B954" s="33" t="str">
        <x:v>Torsten Wiesel</x:v>
      </x:c>
      <x:c r="C954" s="35" t="n">
        <x:v>1981</x:v>
      </x:c>
      <x:c r="D954" s="36" t="str">
        <x:v>1981</x:v>
      </x:c>
      <x:c r="E954" s="36" t="str">
        <x:v>Person</x:v>
      </x:c>
      <x:c r="F954" s="37" t="str">
        <x:v>Not established here</x:v>
      </x:c>
      <x:c r="G954" s="33" t="str">
        <x:v>Not included in this affirmative shortlist. This is not a finding of non-genius.</x:v>
      </x:c>
      <x:c r="H954" s="29" t="str">
        <x:v>Medicine roster</x:v>
      </x:c>
    </x:row>
    <x:row r="955" ht="36" customHeight="1">
      <x:c r="A955" s="29" t="str">
        <x:v>Medicine</x:v>
      </x:c>
      <x:c r="B955" s="33" t="str">
        <x:v>Bengt I. Samuelsson</x:v>
      </x:c>
      <x:c r="C955" s="35" t="n">
        <x:v>1982</x:v>
      </x:c>
      <x:c r="D955" s="36" t="str">
        <x:v>1982</x:v>
      </x:c>
      <x:c r="E955" s="36" t="str">
        <x:v>Person</x:v>
      </x:c>
      <x:c r="F955" s="37" t="str">
        <x:v>Not established here</x:v>
      </x:c>
      <x:c r="G955" s="33" t="str">
        <x:v>Not included in this affirmative shortlist. This is not a finding of non-genius.</x:v>
      </x:c>
      <x:c r="H955" s="29" t="str">
        <x:v>Medicine roster</x:v>
      </x:c>
    </x:row>
    <x:row r="956" ht="36" customHeight="1">
      <x:c r="A956" s="29" t="str">
        <x:v>Medicine</x:v>
      </x:c>
      <x:c r="B956" s="33" t="str">
        <x:v>John Vane</x:v>
      </x:c>
      <x:c r="C956" s="35" t="n">
        <x:v>1982</x:v>
      </x:c>
      <x:c r="D956" s="36" t="str">
        <x:v>1982</x:v>
      </x:c>
      <x:c r="E956" s="36" t="str">
        <x:v>Person</x:v>
      </x:c>
      <x:c r="F956" s="37" t="str">
        <x:v>Not established here</x:v>
      </x:c>
      <x:c r="G956" s="33" t="str">
        <x:v>Not included in this affirmative shortlist. This is not a finding of non-genius.</x:v>
      </x:c>
      <x:c r="H956" s="29" t="str">
        <x:v>Medicine roster</x:v>
      </x:c>
    </x:row>
    <x:row r="957" ht="36" customHeight="1">
      <x:c r="A957" s="29" t="str">
        <x:v>Medicine</x:v>
      </x:c>
      <x:c r="B957" s="33" t="str">
        <x:v>Sune Bergström</x:v>
      </x:c>
      <x:c r="C957" s="35" t="n">
        <x:v>1982</x:v>
      </x:c>
      <x:c r="D957" s="36" t="str">
        <x:v>1982</x:v>
      </x:c>
      <x:c r="E957" s="36" t="str">
        <x:v>Person</x:v>
      </x:c>
      <x:c r="F957" s="37" t="str">
        <x:v>Not established here</x:v>
      </x:c>
      <x:c r="G957" s="33" t="str">
        <x:v>Not included in this affirmative shortlist. This is not a finding of non-genius.</x:v>
      </x:c>
      <x:c r="H957" s="29" t="str">
        <x:v>Medicine roster</x:v>
      </x:c>
    </x:row>
    <x:row r="958" ht="36" customHeight="1">
      <x:c r="A958" s="29" t="str">
        <x:v>Medicine</x:v>
      </x:c>
      <x:c r="B958" s="33" t="str">
        <x:v>Barbara McClintock</x:v>
      </x:c>
      <x:c r="C958" s="35" t="n">
        <x:v>1983</x:v>
      </x:c>
      <x:c r="D958" s="36" t="str">
        <x:v>1983</x:v>
      </x:c>
      <x:c r="E958" s="36" t="str">
        <x:v>Person</x:v>
      </x:c>
      <x:c r="F958" s="37" t="str">
        <x:v>Clear</x:v>
      </x:c>
      <x:c r="G958" s="33" t="str">
        <x:v>Radically original discovery and interpretation of mobile genetic elements.</x:v>
      </x:c>
      <x:c r="H958" s="29" t="str">
        <x:v>Medicine roster</x:v>
      </x:c>
    </x:row>
    <x:row r="959" ht="36" customHeight="1">
      <x:c r="A959" s="29" t="str">
        <x:v>Medicine</x:v>
      </x:c>
      <x:c r="B959" s="33" t="str">
        <x:v>César Milstein</x:v>
      </x:c>
      <x:c r="C959" s="35" t="n">
        <x:v>1984</x:v>
      </x:c>
      <x:c r="D959" s="36" t="str">
        <x:v>1984</x:v>
      </x:c>
      <x:c r="E959" s="36" t="str">
        <x:v>Person</x:v>
      </x:c>
      <x:c r="F959" s="37" t="str">
        <x:v>Not established here</x:v>
      </x:c>
      <x:c r="G959" s="33" t="str">
        <x:v>Not included in this affirmative shortlist. This is not a finding of non-genius.</x:v>
      </x:c>
      <x:c r="H959" s="29" t="str">
        <x:v>Medicine roster</x:v>
      </x:c>
    </x:row>
    <x:row r="960" ht="36" customHeight="1">
      <x:c r="A960" s="29" t="str">
        <x:v>Medicine</x:v>
      </x:c>
      <x:c r="B960" s="33" t="str">
        <x:v>Georges J. F. Köhler</x:v>
      </x:c>
      <x:c r="C960" s="35" t="n">
        <x:v>1984</x:v>
      </x:c>
      <x:c r="D960" s="36" t="str">
        <x:v>1984</x:v>
      </x:c>
      <x:c r="E960" s="36" t="str">
        <x:v>Person</x:v>
      </x:c>
      <x:c r="F960" s="37" t="str">
        <x:v>Not established here</x:v>
      </x:c>
      <x:c r="G960" s="33" t="str">
        <x:v>Not included in this affirmative shortlist. This is not a finding of non-genius.</x:v>
      </x:c>
      <x:c r="H960" s="29" t="str">
        <x:v>Medicine roster</x:v>
      </x:c>
    </x:row>
    <x:row r="961" ht="36" customHeight="1">
      <x:c r="A961" s="29" t="str">
        <x:v>Medicine</x:v>
      </x:c>
      <x:c r="B961" s="33" t="str">
        <x:v>Niels Jerne</x:v>
      </x:c>
      <x:c r="C961" s="35" t="n">
        <x:v>1984</x:v>
      </x:c>
      <x:c r="D961" s="36" t="str">
        <x:v>1984</x:v>
      </x:c>
      <x:c r="E961" s="36" t="str">
        <x:v>Person</x:v>
      </x:c>
      <x:c r="F961" s="37" t="str">
        <x:v>Clear</x:v>
      </x:c>
      <x:c r="G961" s="33" t="str">
        <x:v>Exceptionally original conceptual theories of immunity.</x:v>
      </x:c>
      <x:c r="H961" s="29" t="str">
        <x:v>Medicine roster</x:v>
      </x:c>
    </x:row>
    <x:row r="962" ht="36" customHeight="1">
      <x:c r="A962" s="29" t="str">
        <x:v>Medicine</x:v>
      </x:c>
      <x:c r="B962" s="33" t="str">
        <x:v>Joseph L. Goldstein</x:v>
      </x:c>
      <x:c r="C962" s="35" t="n">
        <x:v>1985</x:v>
      </x:c>
      <x:c r="D962" s="36" t="str">
        <x:v>1985</x:v>
      </x:c>
      <x:c r="E962" s="36" t="str">
        <x:v>Person</x:v>
      </x:c>
      <x:c r="F962" s="37" t="str">
        <x:v>Not established here</x:v>
      </x:c>
      <x:c r="G962" s="33" t="str">
        <x:v>Not included in this affirmative shortlist. This is not a finding of non-genius.</x:v>
      </x:c>
      <x:c r="H962" s="29" t="str">
        <x:v>Medicine roster</x:v>
      </x:c>
    </x:row>
    <x:row r="963" ht="36" customHeight="1">
      <x:c r="A963" s="29" t="str">
        <x:v>Medicine</x:v>
      </x:c>
      <x:c r="B963" s="33" t="str">
        <x:v>Michael Brown</x:v>
      </x:c>
      <x:c r="C963" s="35" t="n">
        <x:v>1985</x:v>
      </x:c>
      <x:c r="D963" s="36" t="str">
        <x:v>1985</x:v>
      </x:c>
      <x:c r="E963" s="36" t="str">
        <x:v>Person</x:v>
      </x:c>
      <x:c r="F963" s="37" t="str">
        <x:v>Not established here</x:v>
      </x:c>
      <x:c r="G963" s="33" t="str">
        <x:v>Not included in this affirmative shortlist. This is not a finding of non-genius.</x:v>
      </x:c>
      <x:c r="H963" s="29" t="str">
        <x:v>Medicine roster</x:v>
      </x:c>
    </x:row>
    <x:row r="964" ht="36" customHeight="1">
      <x:c r="A964" s="29" t="str">
        <x:v>Medicine</x:v>
      </x:c>
      <x:c r="B964" s="33" t="str">
        <x:v>Rita Levi-Montalcini</x:v>
      </x:c>
      <x:c r="C964" s="35" t="n">
        <x:v>1986</x:v>
      </x:c>
      <x:c r="D964" s="36" t="str">
        <x:v>1986</x:v>
      </x:c>
      <x:c r="E964" s="36" t="str">
        <x:v>Person</x:v>
      </x:c>
      <x:c r="F964" s="37" t="str">
        <x:v>Not established here</x:v>
      </x:c>
      <x:c r="G964" s="33" t="str">
        <x:v>Not included in this affirmative shortlist. This is not a finding of non-genius.</x:v>
      </x:c>
      <x:c r="H964" s="29" t="str">
        <x:v>Medicine roster</x:v>
      </x:c>
    </x:row>
    <x:row r="965" ht="36" customHeight="1">
      <x:c r="A965" s="29" t="str">
        <x:v>Medicine</x:v>
      </x:c>
      <x:c r="B965" s="33" t="str">
        <x:v>Stanley Cohen</x:v>
      </x:c>
      <x:c r="C965" s="35" t="n">
        <x:v>1986</x:v>
      </x:c>
      <x:c r="D965" s="36" t="str">
        <x:v>1986</x:v>
      </x:c>
      <x:c r="E965" s="36" t="str">
        <x:v>Person</x:v>
      </x:c>
      <x:c r="F965" s="37" t="str">
        <x:v>Not established here</x:v>
      </x:c>
      <x:c r="G965" s="33" t="str">
        <x:v>Not included in this affirmative shortlist. This is not a finding of non-genius.</x:v>
      </x:c>
      <x:c r="H965" s="29" t="str">
        <x:v>Medicine roster</x:v>
      </x:c>
    </x:row>
    <x:row r="966" ht="36" customHeight="1">
      <x:c r="A966" s="29" t="str">
        <x:v>Medicine</x:v>
      </x:c>
      <x:c r="B966" s="33" t="str">
        <x:v>Susumu Tonegawa</x:v>
      </x:c>
      <x:c r="C966" s="35" t="n">
        <x:v>1987</x:v>
      </x:c>
      <x:c r="D966" s="36" t="str">
        <x:v>1987</x:v>
      </x:c>
      <x:c r="E966" s="36" t="str">
        <x:v>Person</x:v>
      </x:c>
      <x:c r="F966" s="37" t="str">
        <x:v>Borderline</x:v>
      </x:c>
      <x:c r="G966" s="33" t="str">
        <x:v>Strong case for exceptional originality, but I am less certain of equivalence to the user's very high benchmark.</x:v>
      </x:c>
      <x:c r="H966" s="29" t="str">
        <x:v>Medicine roster</x:v>
      </x:c>
    </x:row>
    <x:row r="967" ht="36" customHeight="1">
      <x:c r="A967" s="29" t="str">
        <x:v>Medicine</x:v>
      </x:c>
      <x:c r="B967" s="33" t="str">
        <x:v>George H. Hitchings</x:v>
      </x:c>
      <x:c r="C967" s="35" t="n">
        <x:v>1988</x:v>
      </x:c>
      <x:c r="D967" s="36" t="str">
        <x:v>1988</x:v>
      </x:c>
      <x:c r="E967" s="36" t="str">
        <x:v>Person</x:v>
      </x:c>
      <x:c r="F967" s="37" t="str">
        <x:v>Not established here</x:v>
      </x:c>
      <x:c r="G967" s="33" t="str">
        <x:v>Not included in this affirmative shortlist. This is not a finding of non-genius.</x:v>
      </x:c>
      <x:c r="H967" s="29" t="str">
        <x:v>Medicine roster</x:v>
      </x:c>
    </x:row>
    <x:row r="968" ht="36" customHeight="1">
      <x:c r="A968" s="29" t="str">
        <x:v>Medicine</x:v>
      </x:c>
      <x:c r="B968" s="33" t="str">
        <x:v>Gertrude B. Elion</x:v>
      </x:c>
      <x:c r="C968" s="35" t="n">
        <x:v>1988</x:v>
      </x:c>
      <x:c r="D968" s="36" t="str">
        <x:v>1988</x:v>
      </x:c>
      <x:c r="E968" s="36" t="str">
        <x:v>Person</x:v>
      </x:c>
      <x:c r="F968" s="37" t="str">
        <x:v>Borderline</x:v>
      </x:c>
      <x:c r="G968" s="33" t="str">
        <x:v>Strong case for exceptional originality, but I am less certain of equivalence to the user's very high benchmark.</x:v>
      </x:c>
      <x:c r="H968" s="29" t="str">
        <x:v>Medicine roster</x:v>
      </x:c>
    </x:row>
    <x:row r="969" ht="36" customHeight="1">
      <x:c r="A969" s="29" t="str">
        <x:v>Medicine</x:v>
      </x:c>
      <x:c r="B969" s="33" t="str">
        <x:v>James Black</x:v>
      </x:c>
      <x:c r="C969" s="35" t="n">
        <x:v>1988</x:v>
      </x:c>
      <x:c r="D969" s="36" t="str">
        <x:v>1988</x:v>
      </x:c>
      <x:c r="E969" s="36" t="str">
        <x:v>Person</x:v>
      </x:c>
      <x:c r="F969" s="37" t="str">
        <x:v>Not established here</x:v>
      </x:c>
      <x:c r="G969" s="33" t="str">
        <x:v>Not included in this affirmative shortlist. This is not a finding of non-genius.</x:v>
      </x:c>
      <x:c r="H969" s="29" t="str">
        <x:v>Medicine roster</x:v>
      </x:c>
    </x:row>
    <x:row r="970" ht="36" customHeight="1">
      <x:c r="A970" s="29" t="str">
        <x:v>Medicine</x:v>
      </x:c>
      <x:c r="B970" s="33" t="str">
        <x:v>Harold E. Varmus</x:v>
      </x:c>
      <x:c r="C970" s="35" t="n">
        <x:v>1989</x:v>
      </x:c>
      <x:c r="D970" s="36" t="str">
        <x:v>1989</x:v>
      </x:c>
      <x:c r="E970" s="36" t="str">
        <x:v>Person</x:v>
      </x:c>
      <x:c r="F970" s="37" t="str">
        <x:v>Not established here</x:v>
      </x:c>
      <x:c r="G970" s="33" t="str">
        <x:v>Not included in this affirmative shortlist. This is not a finding of non-genius.</x:v>
      </x:c>
      <x:c r="H970" s="29" t="str">
        <x:v>Medicine roster</x:v>
      </x:c>
    </x:row>
    <x:row r="971" ht="36" customHeight="1">
      <x:c r="A971" s="29" t="str">
        <x:v>Medicine</x:v>
      </x:c>
      <x:c r="B971" s="33" t="str">
        <x:v>J. Michael Bishop</x:v>
      </x:c>
      <x:c r="C971" s="35" t="n">
        <x:v>1989</x:v>
      </x:c>
      <x:c r="D971" s="36" t="str">
        <x:v>1989</x:v>
      </x:c>
      <x:c r="E971" s="36" t="str">
        <x:v>Person</x:v>
      </x:c>
      <x:c r="F971" s="37" t="str">
        <x:v>Not established here</x:v>
      </x:c>
      <x:c r="G971" s="33" t="str">
        <x:v>Not included in this affirmative shortlist. This is not a finding of non-genius.</x:v>
      </x:c>
      <x:c r="H971" s="29" t="str">
        <x:v>Medicine roster</x:v>
      </x:c>
    </x:row>
    <x:row r="972" ht="36" customHeight="1">
      <x:c r="A972" s="29" t="str">
        <x:v>Medicine</x:v>
      </x:c>
      <x:c r="B972" s="33" t="str">
        <x:v>Don Thomas</x:v>
      </x:c>
      <x:c r="C972" s="35" t="n">
        <x:v>1990</x:v>
      </x:c>
      <x:c r="D972" s="36" t="str">
        <x:v>1990</x:v>
      </x:c>
      <x:c r="E972" s="36" t="str">
        <x:v>Person</x:v>
      </x:c>
      <x:c r="F972" s="37" t="str">
        <x:v>Not established here</x:v>
      </x:c>
      <x:c r="G972" s="33" t="str">
        <x:v>Not included in this affirmative shortlist. This is not a finding of non-genius.</x:v>
      </x:c>
      <x:c r="H972" s="29" t="str">
        <x:v>Medicine roster</x:v>
      </x:c>
    </x:row>
    <x:row r="973" ht="36" customHeight="1">
      <x:c r="A973" s="29" t="str">
        <x:v>Medicine</x:v>
      </x:c>
      <x:c r="B973" s="33" t="str">
        <x:v>Joseph Murray</x:v>
      </x:c>
      <x:c r="C973" s="35" t="n">
        <x:v>1990</x:v>
      </x:c>
      <x:c r="D973" s="36" t="str">
        <x:v>1990</x:v>
      </x:c>
      <x:c r="E973" s="36" t="str">
        <x:v>Person</x:v>
      </x:c>
      <x:c r="F973" s="37" t="str">
        <x:v>Not established here</x:v>
      </x:c>
      <x:c r="G973" s="33" t="str">
        <x:v>Not included in this affirmative shortlist. This is not a finding of non-genius.</x:v>
      </x:c>
      <x:c r="H973" s="29" t="str">
        <x:v>Medicine roster</x:v>
      </x:c>
    </x:row>
    <x:row r="974" ht="36" customHeight="1">
      <x:c r="A974" s="29" t="str">
        <x:v>Medicine</x:v>
      </x:c>
      <x:c r="B974" s="33" t="str">
        <x:v>Bert Sakmann</x:v>
      </x:c>
      <x:c r="C974" s="35" t="n">
        <x:v>1991</x:v>
      </x:c>
      <x:c r="D974" s="36" t="str">
        <x:v>1991</x:v>
      </x:c>
      <x:c r="E974" s="36" t="str">
        <x:v>Person</x:v>
      </x:c>
      <x:c r="F974" s="37" t="str">
        <x:v>Not established here</x:v>
      </x:c>
      <x:c r="G974" s="33" t="str">
        <x:v>Not included in this affirmative shortlist. This is not a finding of non-genius.</x:v>
      </x:c>
      <x:c r="H974" s="29" t="str">
        <x:v>Medicine roster</x:v>
      </x:c>
    </x:row>
    <x:row r="975" ht="36" customHeight="1">
      <x:c r="A975" s="29" t="str">
        <x:v>Medicine</x:v>
      </x:c>
      <x:c r="B975" s="33" t="str">
        <x:v>Erwin Neher</x:v>
      </x:c>
      <x:c r="C975" s="35" t="n">
        <x:v>1991</x:v>
      </x:c>
      <x:c r="D975" s="36" t="str">
        <x:v>1991</x:v>
      </x:c>
      <x:c r="E975" s="36" t="str">
        <x:v>Person</x:v>
      </x:c>
      <x:c r="F975" s="37" t="str">
        <x:v>Not established here</x:v>
      </x:c>
      <x:c r="G975" s="33" t="str">
        <x:v>Not included in this affirmative shortlist. This is not a finding of non-genius.</x:v>
      </x:c>
      <x:c r="H975" s="29" t="str">
        <x:v>Medicine roster</x:v>
      </x:c>
    </x:row>
    <x:row r="976" ht="36" customHeight="1">
      <x:c r="A976" s="29" t="str">
        <x:v>Medicine</x:v>
      </x:c>
      <x:c r="B976" s="33" t="str">
        <x:v>Edmond H. Fischer</x:v>
      </x:c>
      <x:c r="C976" s="35" t="n">
        <x:v>1992</x:v>
      </x:c>
      <x:c r="D976" s="36" t="str">
        <x:v>1992</x:v>
      </x:c>
      <x:c r="E976" s="36" t="str">
        <x:v>Person</x:v>
      </x:c>
      <x:c r="F976" s="37" t="str">
        <x:v>Not established here</x:v>
      </x:c>
      <x:c r="G976" s="33" t="str">
        <x:v>Not included in this affirmative shortlist. This is not a finding of non-genius.</x:v>
      </x:c>
      <x:c r="H976" s="29" t="str">
        <x:v>Medicine roster</x:v>
      </x:c>
    </x:row>
    <x:row r="977" ht="36" customHeight="1">
      <x:c r="A977" s="29" t="str">
        <x:v>Medicine</x:v>
      </x:c>
      <x:c r="B977" s="33" t="str">
        <x:v>Edwin G. Krebs</x:v>
      </x:c>
      <x:c r="C977" s="35" t="n">
        <x:v>1992</x:v>
      </x:c>
      <x:c r="D977" s="36" t="str">
        <x:v>1992</x:v>
      </x:c>
      <x:c r="E977" s="36" t="str">
        <x:v>Person</x:v>
      </x:c>
      <x:c r="F977" s="37" t="str">
        <x:v>Not established here</x:v>
      </x:c>
      <x:c r="G977" s="33" t="str">
        <x:v>Not included in this affirmative shortlist. This is not a finding of non-genius.</x:v>
      </x:c>
      <x:c r="H977" s="29" t="str">
        <x:v>Medicine roster</x:v>
      </x:c>
    </x:row>
    <x:row r="978" ht="36" customHeight="1">
      <x:c r="A978" s="29" t="str">
        <x:v>Medicine</x:v>
      </x:c>
      <x:c r="B978" s="33" t="str">
        <x:v>Phillip Sharp</x:v>
      </x:c>
      <x:c r="C978" s="35" t="n">
        <x:v>1993</x:v>
      </x:c>
      <x:c r="D978" s="36" t="str">
        <x:v>1993</x:v>
      </x:c>
      <x:c r="E978" s="36" t="str">
        <x:v>Person</x:v>
      </x:c>
      <x:c r="F978" s="37" t="str">
        <x:v>Not established here</x:v>
      </x:c>
      <x:c r="G978" s="33" t="str">
        <x:v>Not included in this affirmative shortlist. This is not a finding of non-genius.</x:v>
      </x:c>
      <x:c r="H978" s="29" t="str">
        <x:v>Medicine roster</x:v>
      </x:c>
    </x:row>
    <x:row r="979" ht="36" customHeight="1">
      <x:c r="A979" s="29" t="str">
        <x:v>Medicine</x:v>
      </x:c>
      <x:c r="B979" s="33" t="str">
        <x:v>Richard J. Roberts</x:v>
      </x:c>
      <x:c r="C979" s="35" t="n">
        <x:v>1993</x:v>
      </x:c>
      <x:c r="D979" s="36" t="str">
        <x:v>1993</x:v>
      </x:c>
      <x:c r="E979" s="36" t="str">
        <x:v>Person</x:v>
      </x:c>
      <x:c r="F979" s="37" t="str">
        <x:v>Not established here</x:v>
      </x:c>
      <x:c r="G979" s="33" t="str">
        <x:v>Not included in this affirmative shortlist. This is not a finding of non-genius.</x:v>
      </x:c>
      <x:c r="H979" s="29" t="str">
        <x:v>Medicine roster</x:v>
      </x:c>
    </x:row>
    <x:row r="980" ht="36" customHeight="1">
      <x:c r="A980" s="29" t="str">
        <x:v>Medicine</x:v>
      </x:c>
      <x:c r="B980" s="33" t="str">
        <x:v>Alfred G. Gilman</x:v>
      </x:c>
      <x:c r="C980" s="35" t="n">
        <x:v>1994</x:v>
      </x:c>
      <x:c r="D980" s="36" t="str">
        <x:v>1994</x:v>
      </x:c>
      <x:c r="E980" s="36" t="str">
        <x:v>Person</x:v>
      </x:c>
      <x:c r="F980" s="37" t="str">
        <x:v>Not established here</x:v>
      </x:c>
      <x:c r="G980" s="33" t="str">
        <x:v>Not included in this affirmative shortlist. This is not a finding of non-genius.</x:v>
      </x:c>
      <x:c r="H980" s="29" t="str">
        <x:v>Medicine roster</x:v>
      </x:c>
    </x:row>
    <x:row r="981" ht="36" customHeight="1">
      <x:c r="A981" s="29" t="str">
        <x:v>Medicine</x:v>
      </x:c>
      <x:c r="B981" s="33" t="str">
        <x:v>Martin Rodbell</x:v>
      </x:c>
      <x:c r="C981" s="35" t="n">
        <x:v>1994</x:v>
      </x:c>
      <x:c r="D981" s="36" t="str">
        <x:v>1994</x:v>
      </x:c>
      <x:c r="E981" s="36" t="str">
        <x:v>Person</x:v>
      </x:c>
      <x:c r="F981" s="37" t="str">
        <x:v>Not established here</x:v>
      </x:c>
      <x:c r="G981" s="33" t="str">
        <x:v>Not included in this affirmative shortlist. This is not a finding of non-genius.</x:v>
      </x:c>
      <x:c r="H981" s="29" t="str">
        <x:v>Medicine roster</x:v>
      </x:c>
    </x:row>
    <x:row r="982" ht="36" customHeight="1">
      <x:c r="A982" s="29" t="str">
        <x:v>Medicine</x:v>
      </x:c>
      <x:c r="B982" s="33" t="str">
        <x:v>Christiane Nüsslein-Volhard</x:v>
      </x:c>
      <x:c r="C982" s="35" t="n">
        <x:v>1995</x:v>
      </x:c>
      <x:c r="D982" s="36" t="str">
        <x:v>1995</x:v>
      </x:c>
      <x:c r="E982" s="36" t="str">
        <x:v>Person</x:v>
      </x:c>
      <x:c r="F982" s="37" t="str">
        <x:v>Borderline</x:v>
      </x:c>
      <x:c r="G982" s="33" t="str">
        <x:v>Strong case for exceptional originality, but I am less certain of equivalence to the user's very high benchmark.</x:v>
      </x:c>
      <x:c r="H982" s="29" t="str">
        <x:v>Medicine roster</x:v>
      </x:c>
    </x:row>
    <x:row r="983" ht="36" customHeight="1">
      <x:c r="A983" s="29" t="str">
        <x:v>Medicine</x:v>
      </x:c>
      <x:c r="B983" s="33" t="str">
        <x:v>Edward B. Lewis</x:v>
      </x:c>
      <x:c r="C983" s="35" t="n">
        <x:v>1995</x:v>
      </x:c>
      <x:c r="D983" s="36" t="str">
        <x:v>1995</x:v>
      </x:c>
      <x:c r="E983" s="36" t="str">
        <x:v>Person</x:v>
      </x:c>
      <x:c r="F983" s="37" t="str">
        <x:v>Not established here</x:v>
      </x:c>
      <x:c r="G983" s="33" t="str">
        <x:v>Not included in this affirmative shortlist. This is not a finding of non-genius.</x:v>
      </x:c>
      <x:c r="H983" s="29" t="str">
        <x:v>Medicine roster</x:v>
      </x:c>
    </x:row>
    <x:row r="984" ht="36" customHeight="1">
      <x:c r="A984" s="29" t="str">
        <x:v>Medicine</x:v>
      </x:c>
      <x:c r="B984" s="33" t="str">
        <x:v>Eric F. Wieschaus</x:v>
      </x:c>
      <x:c r="C984" s="35" t="n">
        <x:v>1995</x:v>
      </x:c>
      <x:c r="D984" s="36" t="str">
        <x:v>1995</x:v>
      </x:c>
      <x:c r="E984" s="36" t="str">
        <x:v>Person</x:v>
      </x:c>
      <x:c r="F984" s="37" t="str">
        <x:v>Not established here</x:v>
      </x:c>
      <x:c r="G984" s="33" t="str">
        <x:v>Not included in this affirmative shortlist. This is not a finding of non-genius.</x:v>
      </x:c>
      <x:c r="H984" s="29" t="str">
        <x:v>Medicine roster</x:v>
      </x:c>
    </x:row>
    <x:row r="985" ht="36" customHeight="1">
      <x:c r="A985" s="29" t="str">
        <x:v>Medicine</x:v>
      </x:c>
      <x:c r="B985" s="33" t="str">
        <x:v>Peter C. Doherty</x:v>
      </x:c>
      <x:c r="C985" s="35" t="n">
        <x:v>1996</x:v>
      </x:c>
      <x:c r="D985" s="36" t="str">
        <x:v>1996</x:v>
      </x:c>
      <x:c r="E985" s="36" t="str">
        <x:v>Person</x:v>
      </x:c>
      <x:c r="F985" s="37" t="str">
        <x:v>Not established here</x:v>
      </x:c>
      <x:c r="G985" s="33" t="str">
        <x:v>Not included in this affirmative shortlist. This is not a finding of non-genius.</x:v>
      </x:c>
      <x:c r="H985" s="29" t="str">
        <x:v>Medicine roster</x:v>
      </x:c>
    </x:row>
    <x:row r="986" ht="36" customHeight="1">
      <x:c r="A986" s="29" t="str">
        <x:v>Medicine</x:v>
      </x:c>
      <x:c r="B986" s="33" t="str">
        <x:v>Rolf M. Zinkernagel</x:v>
      </x:c>
      <x:c r="C986" s="35" t="n">
        <x:v>1996</x:v>
      </x:c>
      <x:c r="D986" s="36" t="str">
        <x:v>1996</x:v>
      </x:c>
      <x:c r="E986" s="36" t="str">
        <x:v>Person</x:v>
      </x:c>
      <x:c r="F986" s="37" t="str">
        <x:v>Not established here</x:v>
      </x:c>
      <x:c r="G986" s="33" t="str">
        <x:v>Not included in this affirmative shortlist. This is not a finding of non-genius.</x:v>
      </x:c>
      <x:c r="H986" s="29" t="str">
        <x:v>Medicine roster</x:v>
      </x:c>
    </x:row>
    <x:row r="987" ht="36" customHeight="1">
      <x:c r="A987" s="29" t="str">
        <x:v>Medicine</x:v>
      </x:c>
      <x:c r="B987" s="33" t="str">
        <x:v>Stanley B. Prusiner</x:v>
      </x:c>
      <x:c r="C987" s="35" t="n">
        <x:v>1997</x:v>
      </x:c>
      <x:c r="D987" s="36" t="str">
        <x:v>1997</x:v>
      </x:c>
      <x:c r="E987" s="36" t="str">
        <x:v>Person</x:v>
      </x:c>
      <x:c r="F987" s="37" t="str">
        <x:v>Borderline</x:v>
      </x:c>
      <x:c r="G987" s="33" t="str">
        <x:v>Strong case for exceptional originality, but I am less certain of equivalence to the user's very high benchmark.</x:v>
      </x:c>
      <x:c r="H987" s="29" t="str">
        <x:v>Medicine roster</x:v>
      </x:c>
    </x:row>
    <x:row r="988" ht="36" customHeight="1">
      <x:c r="A988" s="29" t="str">
        <x:v>Medicine</x:v>
      </x:c>
      <x:c r="B988" s="33" t="str">
        <x:v>Ferid Murad</x:v>
      </x:c>
      <x:c r="C988" s="35" t="n">
        <x:v>1998</x:v>
      </x:c>
      <x:c r="D988" s="36" t="str">
        <x:v>1998</x:v>
      </x:c>
      <x:c r="E988" s="36" t="str">
        <x:v>Person</x:v>
      </x:c>
      <x:c r="F988" s="37" t="str">
        <x:v>Not established here</x:v>
      </x:c>
      <x:c r="G988" s="33" t="str">
        <x:v>Not included in this affirmative shortlist. This is not a finding of non-genius.</x:v>
      </x:c>
      <x:c r="H988" s="29" t="str">
        <x:v>Medicine roster</x:v>
      </x:c>
    </x:row>
    <x:row r="989" ht="36" customHeight="1">
      <x:c r="A989" s="29" t="str">
        <x:v>Medicine</x:v>
      </x:c>
      <x:c r="B989" s="33" t="str">
        <x:v>Louis Ignarro</x:v>
      </x:c>
      <x:c r="C989" s="35" t="n">
        <x:v>1998</x:v>
      </x:c>
      <x:c r="D989" s="36" t="str">
        <x:v>1998</x:v>
      </x:c>
      <x:c r="E989" s="36" t="str">
        <x:v>Person</x:v>
      </x:c>
      <x:c r="F989" s="37" t="str">
        <x:v>Not established here</x:v>
      </x:c>
      <x:c r="G989" s="33" t="str">
        <x:v>Not included in this affirmative shortlist. This is not a finding of non-genius.</x:v>
      </x:c>
      <x:c r="H989" s="29" t="str">
        <x:v>Medicine roster</x:v>
      </x:c>
    </x:row>
    <x:row r="990" ht="36" customHeight="1">
      <x:c r="A990" s="29" t="str">
        <x:v>Medicine</x:v>
      </x:c>
      <x:c r="B990" s="33" t="str">
        <x:v>Robert F. Furchgott</x:v>
      </x:c>
      <x:c r="C990" s="35" t="n">
        <x:v>1998</x:v>
      </x:c>
      <x:c r="D990" s="36" t="str">
        <x:v>1998</x:v>
      </x:c>
      <x:c r="E990" s="36" t="str">
        <x:v>Person</x:v>
      </x:c>
      <x:c r="F990" s="37" t="str">
        <x:v>Not established here</x:v>
      </x:c>
      <x:c r="G990" s="33" t="str">
        <x:v>Not included in this affirmative shortlist. This is not a finding of non-genius.</x:v>
      </x:c>
      <x:c r="H990" s="29" t="str">
        <x:v>Medicine roster</x:v>
      </x:c>
    </x:row>
    <x:row r="991" ht="36" customHeight="1">
      <x:c r="A991" s="29" t="str">
        <x:v>Medicine</x:v>
      </x:c>
      <x:c r="B991" s="33" t="str">
        <x:v>Günter Blobel</x:v>
      </x:c>
      <x:c r="C991" s="35" t="n">
        <x:v>1999</x:v>
      </x:c>
      <x:c r="D991" s="36" t="str">
        <x:v>1999</x:v>
      </x:c>
      <x:c r="E991" s="36" t="str">
        <x:v>Person</x:v>
      </x:c>
      <x:c r="F991" s="37" t="str">
        <x:v>Not established here</x:v>
      </x:c>
      <x:c r="G991" s="33" t="str">
        <x:v>Not included in this affirmative shortlist. This is not a finding of non-genius.</x:v>
      </x:c>
      <x:c r="H991" s="29" t="str">
        <x:v>Medicine roster</x:v>
      </x:c>
    </x:row>
    <x:row r="992" ht="36" customHeight="1">
      <x:c r="A992" s="29" t="str">
        <x:v>Medicine</x:v>
      </x:c>
      <x:c r="B992" s="33" t="str">
        <x:v>Arvid Carlsson</x:v>
      </x:c>
      <x:c r="C992" s="35" t="n">
        <x:v>2000</x:v>
      </x:c>
      <x:c r="D992" s="36" t="str">
        <x:v>2000</x:v>
      </x:c>
      <x:c r="E992" s="36" t="str">
        <x:v>Person</x:v>
      </x:c>
      <x:c r="F992" s="37" t="str">
        <x:v>Not established here</x:v>
      </x:c>
      <x:c r="G992" s="33" t="str">
        <x:v>Not included in this affirmative shortlist. This is not a finding of non-genius.</x:v>
      </x:c>
      <x:c r="H992" s="29" t="str">
        <x:v>Medicine roster</x:v>
      </x:c>
    </x:row>
    <x:row r="993" ht="36" customHeight="1">
      <x:c r="A993" s="29" t="str">
        <x:v>Medicine</x:v>
      </x:c>
      <x:c r="B993" s="33" t="str">
        <x:v>Eric Kandel</x:v>
      </x:c>
      <x:c r="C993" s="35" t="n">
        <x:v>2000</x:v>
      </x:c>
      <x:c r="D993" s="36" t="str">
        <x:v>2000</x:v>
      </x:c>
      <x:c r="E993" s="36" t="str">
        <x:v>Person</x:v>
      </x:c>
      <x:c r="F993" s="37" t="str">
        <x:v>Borderline</x:v>
      </x:c>
      <x:c r="G993" s="33" t="str">
        <x:v>Strong case for exceptional originality, but I am less certain of equivalence to the user's very high benchmark.</x:v>
      </x:c>
      <x:c r="H993" s="29" t="str">
        <x:v>Medicine roster</x:v>
      </x:c>
    </x:row>
    <x:row r="994" ht="36" customHeight="1">
      <x:c r="A994" s="29" t="str">
        <x:v>Medicine</x:v>
      </x:c>
      <x:c r="B994" s="33" t="str">
        <x:v>Paul Greengard</x:v>
      </x:c>
      <x:c r="C994" s="35" t="n">
        <x:v>2000</x:v>
      </x:c>
      <x:c r="D994" s="36" t="str">
        <x:v>2000</x:v>
      </x:c>
      <x:c r="E994" s="36" t="str">
        <x:v>Person</x:v>
      </x:c>
      <x:c r="F994" s="37" t="str">
        <x:v>Not established here</x:v>
      </x:c>
      <x:c r="G994" s="33" t="str">
        <x:v>Not included in this affirmative shortlist. This is not a finding of non-genius.</x:v>
      </x:c>
      <x:c r="H994" s="29" t="str">
        <x:v>Medicine roster</x:v>
      </x:c>
    </x:row>
    <x:row r="995" ht="36" customHeight="1">
      <x:c r="A995" s="29" t="str">
        <x:v>Medicine</x:v>
      </x:c>
      <x:c r="B995" s="33" t="str">
        <x:v>Leland H. Hartwell</x:v>
      </x:c>
      <x:c r="C995" s="35" t="n">
        <x:v>2001</x:v>
      </x:c>
      <x:c r="D995" s="36" t="str">
        <x:v>2001</x:v>
      </x:c>
      <x:c r="E995" s="36" t="str">
        <x:v>Person</x:v>
      </x:c>
      <x:c r="F995" s="37" t="str">
        <x:v>Not established here</x:v>
      </x:c>
      <x:c r="G995" s="33" t="str">
        <x:v>Not included in this affirmative shortlist. This is not a finding of non-genius.</x:v>
      </x:c>
      <x:c r="H995" s="29" t="str">
        <x:v>Medicine roster</x:v>
      </x:c>
    </x:row>
    <x:row r="996" ht="36" customHeight="1">
      <x:c r="A996" s="29" t="str">
        <x:v>Medicine</x:v>
      </x:c>
      <x:c r="B996" s="33" t="str">
        <x:v>Paul Nurse</x:v>
      </x:c>
      <x:c r="C996" s="35" t="n">
        <x:v>2001</x:v>
      </x:c>
      <x:c r="D996" s="36" t="str">
        <x:v>2001</x:v>
      </x:c>
      <x:c r="E996" s="36" t="str">
        <x:v>Person</x:v>
      </x:c>
      <x:c r="F996" s="37" t="str">
        <x:v>Not established here</x:v>
      </x:c>
      <x:c r="G996" s="33" t="str">
        <x:v>Not included in this affirmative shortlist. This is not a finding of non-genius.</x:v>
      </x:c>
      <x:c r="H996" s="29" t="str">
        <x:v>Medicine roster</x:v>
      </x:c>
    </x:row>
    <x:row r="997" ht="36" customHeight="1">
      <x:c r="A997" s="29" t="str">
        <x:v>Medicine</x:v>
      </x:c>
      <x:c r="B997" s="33" t="str">
        <x:v>Tim Hunt</x:v>
      </x:c>
      <x:c r="C997" s="35" t="n">
        <x:v>2001</x:v>
      </x:c>
      <x:c r="D997" s="36" t="str">
        <x:v>2001</x:v>
      </x:c>
      <x:c r="E997" s="36" t="str">
        <x:v>Person</x:v>
      </x:c>
      <x:c r="F997" s="37" t="str">
        <x:v>Not established here</x:v>
      </x:c>
      <x:c r="G997" s="33" t="str">
        <x:v>Not included in this affirmative shortlist. This is not a finding of non-genius.</x:v>
      </x:c>
      <x:c r="H997" s="29" t="str">
        <x:v>Medicine roster</x:v>
      </x:c>
    </x:row>
    <x:row r="998" ht="36" customHeight="1">
      <x:c r="A998" s="29" t="str">
        <x:v>Medicine</x:v>
      </x:c>
      <x:c r="B998" s="33" t="str">
        <x:v>H. Robert Horvitz</x:v>
      </x:c>
      <x:c r="C998" s="35" t="n">
        <x:v>2002</x:v>
      </x:c>
      <x:c r="D998" s="36" t="str">
        <x:v>2002</x:v>
      </x:c>
      <x:c r="E998" s="36" t="str">
        <x:v>Person</x:v>
      </x:c>
      <x:c r="F998" s="37" t="str">
        <x:v>Not established here</x:v>
      </x:c>
      <x:c r="G998" s="33" t="str">
        <x:v>Not included in this affirmative shortlist. This is not a finding of non-genius.</x:v>
      </x:c>
      <x:c r="H998" s="29" t="str">
        <x:v>Medicine roster</x:v>
      </x:c>
    </x:row>
    <x:row r="999" ht="36" customHeight="1">
      <x:c r="A999" s="29" t="str">
        <x:v>Medicine</x:v>
      </x:c>
      <x:c r="B999" s="33" t="str">
        <x:v>John Sulston</x:v>
      </x:c>
      <x:c r="C999" s="35" t="n">
        <x:v>2002</x:v>
      </x:c>
      <x:c r="D999" s="36" t="str">
        <x:v>2002</x:v>
      </x:c>
      <x:c r="E999" s="36" t="str">
        <x:v>Person</x:v>
      </x:c>
      <x:c r="F999" s="37" t="str">
        <x:v>Not established here</x:v>
      </x:c>
      <x:c r="G999" s="33" t="str">
        <x:v>Not included in this affirmative shortlist. This is not a finding of non-genius.</x:v>
      </x:c>
      <x:c r="H999" s="29" t="str">
        <x:v>Medicine roster</x:v>
      </x:c>
    </x:row>
    <x:row r="1000" ht="36" customHeight="1">
      <x:c r="A1000" s="29" t="str">
        <x:v>Medicine</x:v>
      </x:c>
      <x:c r="B1000" s="33" t="str">
        <x:v>Sydney Brenner</x:v>
      </x:c>
      <x:c r="C1000" s="35" t="n">
        <x:v>2002</x:v>
      </x:c>
      <x:c r="D1000" s="36" t="str">
        <x:v>2002</x:v>
      </x:c>
      <x:c r="E1000" s="36" t="str">
        <x:v>Person</x:v>
      </x:c>
      <x:c r="F1000" s="37" t="str">
        <x:v>Clear</x:v>
      </x:c>
      <x:c r="G1000" s="33" t="str">
        <x:v>Repeated foundational insights and experimental programmes in molecular biology.</x:v>
      </x:c>
      <x:c r="H1000" s="29" t="str">
        <x:v>Medicine roster</x:v>
      </x:c>
    </x:row>
    <x:row r="1001" ht="36" customHeight="1">
      <x:c r="A1001" s="29" t="str">
        <x:v>Medicine</x:v>
      </x:c>
      <x:c r="B1001" s="33" t="str">
        <x:v>Paul Lauterbur</x:v>
      </x:c>
      <x:c r="C1001" s="35" t="n">
        <x:v>2003</x:v>
      </x:c>
      <x:c r="D1001" s="36" t="str">
        <x:v>2003</x:v>
      </x:c>
      <x:c r="E1001" s="36" t="str">
        <x:v>Person</x:v>
      </x:c>
      <x:c r="F1001" s="37" t="str">
        <x:v>Borderline</x:v>
      </x:c>
      <x:c r="G1001" s="33" t="str">
        <x:v>Strong case for exceptional originality, but I am less certain of equivalence to the user's very high benchmark.</x:v>
      </x:c>
      <x:c r="H1001" s="29" t="str">
        <x:v>Medicine roster</x:v>
      </x:c>
    </x:row>
    <x:row r="1002" ht="36" customHeight="1">
      <x:c r="A1002" s="29" t="str">
        <x:v>Medicine</x:v>
      </x:c>
      <x:c r="B1002" s="33" t="str">
        <x:v>Peter Mansfield</x:v>
      </x:c>
      <x:c r="C1002" s="35" t="n">
        <x:v>2003</x:v>
      </x:c>
      <x:c r="D1002" s="36" t="str">
        <x:v>2003</x:v>
      </x:c>
      <x:c r="E1002" s="36" t="str">
        <x:v>Person</x:v>
      </x:c>
      <x:c r="F1002" s="37" t="str">
        <x:v>Borderline</x:v>
      </x:c>
      <x:c r="G1002" s="33" t="str">
        <x:v>Strong case for exceptional originality, but I am less certain of equivalence to the user's very high benchmark.</x:v>
      </x:c>
      <x:c r="H1002" s="29" t="str">
        <x:v>Medicine roster</x:v>
      </x:c>
    </x:row>
    <x:row r="1003" ht="36" customHeight="1">
      <x:c r="A1003" s="29" t="str">
        <x:v>Medicine</x:v>
      </x:c>
      <x:c r="B1003" s="33" t="str">
        <x:v>Linda B. Buck</x:v>
      </x:c>
      <x:c r="C1003" s="35" t="n">
        <x:v>2004</x:v>
      </x:c>
      <x:c r="D1003" s="36" t="str">
        <x:v>2004</x:v>
      </x:c>
      <x:c r="E1003" s="36" t="str">
        <x:v>Person</x:v>
      </x:c>
      <x:c r="F1003" s="37" t="str">
        <x:v>Not established here</x:v>
      </x:c>
      <x:c r="G1003" s="33" t="str">
        <x:v>Not included in this affirmative shortlist. This is not a finding of non-genius.</x:v>
      </x:c>
      <x:c r="H1003" s="29" t="str">
        <x:v>Medicine roster</x:v>
      </x:c>
    </x:row>
    <x:row r="1004" ht="36" customHeight="1">
      <x:c r="A1004" s="29" t="str">
        <x:v>Medicine</x:v>
      </x:c>
      <x:c r="B1004" s="33" t="str">
        <x:v>Richard Axel</x:v>
      </x:c>
      <x:c r="C1004" s="35" t="n">
        <x:v>2004</x:v>
      </x:c>
      <x:c r="D1004" s="36" t="str">
        <x:v>2004</x:v>
      </x:c>
      <x:c r="E1004" s="36" t="str">
        <x:v>Person</x:v>
      </x:c>
      <x:c r="F1004" s="37" t="str">
        <x:v>Not established here</x:v>
      </x:c>
      <x:c r="G1004" s="33" t="str">
        <x:v>Not included in this affirmative shortlist. This is not a finding of non-genius.</x:v>
      </x:c>
      <x:c r="H1004" s="29" t="str">
        <x:v>Medicine roster</x:v>
      </x:c>
    </x:row>
    <x:row r="1005" ht="36" customHeight="1">
      <x:c r="A1005" s="29" t="str">
        <x:v>Medicine</x:v>
      </x:c>
      <x:c r="B1005" s="33" t="str">
        <x:v>Barry Marshall</x:v>
      </x:c>
      <x:c r="C1005" s="35" t="n">
        <x:v>2005</x:v>
      </x:c>
      <x:c r="D1005" s="36" t="str">
        <x:v>2005</x:v>
      </x:c>
      <x:c r="E1005" s="36" t="str">
        <x:v>Person</x:v>
      </x:c>
      <x:c r="F1005" s="37" t="str">
        <x:v>Not established here</x:v>
      </x:c>
      <x:c r="G1005" s="33" t="str">
        <x:v>Not included in this affirmative shortlist. This is not a finding of non-genius.</x:v>
      </x:c>
      <x:c r="H1005" s="29" t="str">
        <x:v>Medicine roster</x:v>
      </x:c>
    </x:row>
    <x:row r="1006" ht="36" customHeight="1">
      <x:c r="A1006" s="29" t="str">
        <x:v>Medicine</x:v>
      </x:c>
      <x:c r="B1006" s="33" t="str">
        <x:v>J. Robin Warren</x:v>
      </x:c>
      <x:c r="C1006" s="35" t="n">
        <x:v>2005</x:v>
      </x:c>
      <x:c r="D1006" s="36" t="str">
        <x:v>2005</x:v>
      </x:c>
      <x:c r="E1006" s="36" t="str">
        <x:v>Person</x:v>
      </x:c>
      <x:c r="F1006" s="37" t="str">
        <x:v>Not established here</x:v>
      </x:c>
      <x:c r="G1006" s="33" t="str">
        <x:v>Not included in this affirmative shortlist. This is not a finding of non-genius.</x:v>
      </x:c>
      <x:c r="H1006" s="29" t="str">
        <x:v>Medicine roster</x:v>
      </x:c>
    </x:row>
    <x:row r="1007" ht="36" customHeight="1">
      <x:c r="A1007" s="29" t="str">
        <x:v>Medicine</x:v>
      </x:c>
      <x:c r="B1007" s="33" t="str">
        <x:v>Andrew Fire</x:v>
      </x:c>
      <x:c r="C1007" s="35" t="n">
        <x:v>2006</x:v>
      </x:c>
      <x:c r="D1007" s="36" t="str">
        <x:v>2006</x:v>
      </x:c>
      <x:c r="E1007" s="36" t="str">
        <x:v>Person</x:v>
      </x:c>
      <x:c r="F1007" s="37" t="str">
        <x:v>Not established here</x:v>
      </x:c>
      <x:c r="G1007" s="33" t="str">
        <x:v>Not included in this affirmative shortlist. This is not a finding of non-genius.</x:v>
      </x:c>
      <x:c r="H1007" s="29" t="str">
        <x:v>Medicine roster</x:v>
      </x:c>
    </x:row>
    <x:row r="1008" ht="36" customHeight="1">
      <x:c r="A1008" s="29" t="str">
        <x:v>Medicine</x:v>
      </x:c>
      <x:c r="B1008" s="33" t="str">
        <x:v>Craig Mello</x:v>
      </x:c>
      <x:c r="C1008" s="35" t="n">
        <x:v>2006</x:v>
      </x:c>
      <x:c r="D1008" s="36" t="str">
        <x:v>2006</x:v>
      </x:c>
      <x:c r="E1008" s="36" t="str">
        <x:v>Person</x:v>
      </x:c>
      <x:c r="F1008" s="37" t="str">
        <x:v>Not established here</x:v>
      </x:c>
      <x:c r="G1008" s="33" t="str">
        <x:v>Not included in this affirmative shortlist. This is not a finding of non-genius.</x:v>
      </x:c>
      <x:c r="H1008" s="29" t="str">
        <x:v>Medicine roster</x:v>
      </x:c>
    </x:row>
    <x:row r="1009" ht="36" customHeight="1">
      <x:c r="A1009" s="29" t="str">
        <x:v>Medicine</x:v>
      </x:c>
      <x:c r="B1009" s="33" t="str">
        <x:v>Mario Capecchi</x:v>
      </x:c>
      <x:c r="C1009" s="35" t="n">
        <x:v>2007</x:v>
      </x:c>
      <x:c r="D1009" s="36" t="str">
        <x:v>2007</x:v>
      </x:c>
      <x:c r="E1009" s="36" t="str">
        <x:v>Person</x:v>
      </x:c>
      <x:c r="F1009" s="37" t="str">
        <x:v>Borderline</x:v>
      </x:c>
      <x:c r="G1009" s="33" t="str">
        <x:v>Strong case for exceptional originality, but I am less certain of equivalence to the user's very high benchmark.</x:v>
      </x:c>
      <x:c r="H1009" s="29" t="str">
        <x:v>Medicine roster</x:v>
      </x:c>
    </x:row>
    <x:row r="1010" ht="36" customHeight="1">
      <x:c r="A1010" s="29" t="str">
        <x:v>Medicine</x:v>
      </x:c>
      <x:c r="B1010" s="33" t="str">
        <x:v>Martin Evans</x:v>
      </x:c>
      <x:c r="C1010" s="35" t="n">
        <x:v>2007</x:v>
      </x:c>
      <x:c r="D1010" s="36" t="str">
        <x:v>2007</x:v>
      </x:c>
      <x:c r="E1010" s="36" t="str">
        <x:v>Person</x:v>
      </x:c>
      <x:c r="F1010" s="37" t="str">
        <x:v>Not established here</x:v>
      </x:c>
      <x:c r="G1010" s="33" t="str">
        <x:v>Not included in this affirmative shortlist. This is not a finding of non-genius.</x:v>
      </x:c>
      <x:c r="H1010" s="29" t="str">
        <x:v>Medicine roster</x:v>
      </x:c>
    </x:row>
    <x:row r="1011" ht="36" customHeight="1">
      <x:c r="A1011" s="29" t="str">
        <x:v>Medicine</x:v>
      </x:c>
      <x:c r="B1011" s="33" t="str">
        <x:v>Oliver Smithies</x:v>
      </x:c>
      <x:c r="C1011" s="35" t="n">
        <x:v>2007</x:v>
      </x:c>
      <x:c r="D1011" s="36" t="str">
        <x:v>2007</x:v>
      </x:c>
      <x:c r="E1011" s="36" t="str">
        <x:v>Person</x:v>
      </x:c>
      <x:c r="F1011" s="37" t="str">
        <x:v>Not established here</x:v>
      </x:c>
      <x:c r="G1011" s="33" t="str">
        <x:v>Not included in this affirmative shortlist. This is not a finding of non-genius.</x:v>
      </x:c>
      <x:c r="H1011" s="29" t="str">
        <x:v>Medicine roster</x:v>
      </x:c>
    </x:row>
    <x:row r="1012" ht="36" customHeight="1">
      <x:c r="A1012" s="29" t="str">
        <x:v>Medicine</x:v>
      </x:c>
      <x:c r="B1012" s="33" t="str">
        <x:v>Françoise Barré-Sinoussi</x:v>
      </x:c>
      <x:c r="C1012" s="35" t="n">
        <x:v>2008</x:v>
      </x:c>
      <x:c r="D1012" s="36" t="str">
        <x:v>2008</x:v>
      </x:c>
      <x:c r="E1012" s="36" t="str">
        <x:v>Person</x:v>
      </x:c>
      <x:c r="F1012" s="37" t="str">
        <x:v>Not established here</x:v>
      </x:c>
      <x:c r="G1012" s="33" t="str">
        <x:v>Not included in this affirmative shortlist. This is not a finding of non-genius.</x:v>
      </x:c>
      <x:c r="H1012" s="29" t="str">
        <x:v>Medicine roster</x:v>
      </x:c>
    </x:row>
    <x:row r="1013" ht="36" customHeight="1">
      <x:c r="A1013" s="29" t="str">
        <x:v>Medicine</x:v>
      </x:c>
      <x:c r="B1013" s="33" t="str">
        <x:v>Harald zur Hausen</x:v>
      </x:c>
      <x:c r="C1013" s="35" t="n">
        <x:v>2008</x:v>
      </x:c>
      <x:c r="D1013" s="36" t="str">
        <x:v>2008</x:v>
      </x:c>
      <x:c r="E1013" s="36" t="str">
        <x:v>Person</x:v>
      </x:c>
      <x:c r="F1013" s="37" t="str">
        <x:v>Not established here</x:v>
      </x:c>
      <x:c r="G1013" s="33" t="str">
        <x:v>Not included in this affirmative shortlist. This is not a finding of non-genius.</x:v>
      </x:c>
      <x:c r="H1013" s="29" t="str">
        <x:v>Medicine roster</x:v>
      </x:c>
    </x:row>
    <x:row r="1014" ht="36" customHeight="1">
      <x:c r="A1014" s="29" t="str">
        <x:v>Medicine</x:v>
      </x:c>
      <x:c r="B1014" s="33" t="str">
        <x:v>Luc Montagnier</x:v>
      </x:c>
      <x:c r="C1014" s="35" t="n">
        <x:v>2008</x:v>
      </x:c>
      <x:c r="D1014" s="36" t="str">
        <x:v>2008</x:v>
      </x:c>
      <x:c r="E1014" s="36" t="str">
        <x:v>Person</x:v>
      </x:c>
      <x:c r="F1014" s="37" t="str">
        <x:v>Not established here</x:v>
      </x:c>
      <x:c r="G1014" s="33" t="str">
        <x:v>Not included in this affirmative shortlist. This is not a finding of non-genius.</x:v>
      </x:c>
      <x:c r="H1014" s="29" t="str">
        <x:v>Medicine roster</x:v>
      </x:c>
    </x:row>
    <x:row r="1015" ht="36" customHeight="1">
      <x:c r="A1015" s="29" t="str">
        <x:v>Medicine</x:v>
      </x:c>
      <x:c r="B1015" s="33" t="str">
        <x:v>Carol W. Greider</x:v>
      </x:c>
      <x:c r="C1015" s="35" t="n">
        <x:v>2009</x:v>
      </x:c>
      <x:c r="D1015" s="36" t="str">
        <x:v>2009</x:v>
      </x:c>
      <x:c r="E1015" s="36" t="str">
        <x:v>Person</x:v>
      </x:c>
      <x:c r="F1015" s="37" t="str">
        <x:v>Not established here</x:v>
      </x:c>
      <x:c r="G1015" s="33" t="str">
        <x:v>Not included in this affirmative shortlist. This is not a finding of non-genius.</x:v>
      </x:c>
      <x:c r="H1015" s="29" t="str">
        <x:v>Medicine roster</x:v>
      </x:c>
    </x:row>
    <x:row r="1016" ht="36" customHeight="1">
      <x:c r="A1016" s="29" t="str">
        <x:v>Medicine</x:v>
      </x:c>
      <x:c r="B1016" s="33" t="str">
        <x:v>Elizabeth Blackburn</x:v>
      </x:c>
      <x:c r="C1016" s="35" t="n">
        <x:v>2009</x:v>
      </x:c>
      <x:c r="D1016" s="36" t="str">
        <x:v>2009</x:v>
      </x:c>
      <x:c r="E1016" s="36" t="str">
        <x:v>Person</x:v>
      </x:c>
      <x:c r="F1016" s="37" t="str">
        <x:v>Not established here</x:v>
      </x:c>
      <x:c r="G1016" s="33" t="str">
        <x:v>Not included in this affirmative shortlist. This is not a finding of non-genius.</x:v>
      </x:c>
      <x:c r="H1016" s="29" t="str">
        <x:v>Medicine roster</x:v>
      </x:c>
    </x:row>
    <x:row r="1017" ht="36" customHeight="1">
      <x:c r="A1017" s="29" t="str">
        <x:v>Medicine</x:v>
      </x:c>
      <x:c r="B1017" s="33" t="str">
        <x:v>Jack W. Szostak</x:v>
      </x:c>
      <x:c r="C1017" s="35" t="n">
        <x:v>2009</x:v>
      </x:c>
      <x:c r="D1017" s="36" t="str">
        <x:v>2009</x:v>
      </x:c>
      <x:c r="E1017" s="36" t="str">
        <x:v>Person</x:v>
      </x:c>
      <x:c r="F1017" s="37" t="str">
        <x:v>Borderline</x:v>
      </x:c>
      <x:c r="G1017" s="33" t="str">
        <x:v>Strong case for exceptional originality, but I am less certain of equivalence to the user's very high benchmark.</x:v>
      </x:c>
      <x:c r="H1017" s="29" t="str">
        <x:v>Medicine roster</x:v>
      </x:c>
    </x:row>
    <x:row r="1018" ht="36" customHeight="1">
      <x:c r="A1018" s="29" t="str">
        <x:v>Medicine</x:v>
      </x:c>
      <x:c r="B1018" s="33" t="str">
        <x:v>Robert G. Edwards</x:v>
      </x:c>
      <x:c r="C1018" s="35" t="n">
        <x:v>2010</x:v>
      </x:c>
      <x:c r="D1018" s="36" t="str">
        <x:v>2010</x:v>
      </x:c>
      <x:c r="E1018" s="36" t="str">
        <x:v>Person</x:v>
      </x:c>
      <x:c r="F1018" s="37" t="str">
        <x:v>Not established here</x:v>
      </x:c>
      <x:c r="G1018" s="33" t="str">
        <x:v>Not included in this affirmative shortlist. This is not a finding of non-genius.</x:v>
      </x:c>
      <x:c r="H1018" s="29" t="str">
        <x:v>Medicine roster</x:v>
      </x:c>
    </x:row>
    <x:row r="1019" ht="36" customHeight="1">
      <x:c r="A1019" s="29" t="str">
        <x:v>Medicine</x:v>
      </x:c>
      <x:c r="B1019" s="33" t="str">
        <x:v>Bruce Beutler</x:v>
      </x:c>
      <x:c r="C1019" s="35" t="n">
        <x:v>2011</x:v>
      </x:c>
      <x:c r="D1019" s="36" t="str">
        <x:v>2011</x:v>
      </x:c>
      <x:c r="E1019" s="36" t="str">
        <x:v>Person</x:v>
      </x:c>
      <x:c r="F1019" s="37" t="str">
        <x:v>Not established here</x:v>
      </x:c>
      <x:c r="G1019" s="33" t="str">
        <x:v>Not included in this affirmative shortlist. This is not a finding of non-genius.</x:v>
      </x:c>
      <x:c r="H1019" s="29" t="str">
        <x:v>Medicine roster</x:v>
      </x:c>
    </x:row>
    <x:row r="1020" ht="36" customHeight="1">
      <x:c r="A1020" s="29" t="str">
        <x:v>Medicine</x:v>
      </x:c>
      <x:c r="B1020" s="33" t="str">
        <x:v>Jules A. Hoffmann</x:v>
      </x:c>
      <x:c r="C1020" s="35" t="n">
        <x:v>2011</x:v>
      </x:c>
      <x:c r="D1020" s="36" t="str">
        <x:v>2011</x:v>
      </x:c>
      <x:c r="E1020" s="36" t="str">
        <x:v>Person</x:v>
      </x:c>
      <x:c r="F1020" s="37" t="str">
        <x:v>Not established here</x:v>
      </x:c>
      <x:c r="G1020" s="33" t="str">
        <x:v>Not included in this affirmative shortlist. This is not a finding of non-genius.</x:v>
      </x:c>
      <x:c r="H1020" s="29" t="str">
        <x:v>Medicine roster</x:v>
      </x:c>
    </x:row>
    <x:row r="1021" ht="36" customHeight="1">
      <x:c r="A1021" s="29" t="str">
        <x:v>Medicine</x:v>
      </x:c>
      <x:c r="B1021" s="33" t="str">
        <x:v>Ralph M. Steinman</x:v>
      </x:c>
      <x:c r="C1021" s="35" t="n">
        <x:v>2011</x:v>
      </x:c>
      <x:c r="D1021" s="36" t="str">
        <x:v>2011</x:v>
      </x:c>
      <x:c r="E1021" s="36" t="str">
        <x:v>Person</x:v>
      </x:c>
      <x:c r="F1021" s="37" t="str">
        <x:v>Not established here</x:v>
      </x:c>
      <x:c r="G1021" s="33" t="str">
        <x:v>Not included in this affirmative shortlist. This is not a finding of non-genius.</x:v>
      </x:c>
      <x:c r="H1021" s="29" t="str">
        <x:v>Medicine roster</x:v>
      </x:c>
    </x:row>
    <x:row r="1022" ht="36" customHeight="1">
      <x:c r="A1022" s="29" t="str">
        <x:v>Medicine</x:v>
      </x:c>
      <x:c r="B1022" s="33" t="str">
        <x:v>John Gurdon</x:v>
      </x:c>
      <x:c r="C1022" s="35" t="n">
        <x:v>2012</x:v>
      </x:c>
      <x:c r="D1022" s="36" t="str">
        <x:v>2012</x:v>
      </x:c>
      <x:c r="E1022" s="36" t="str">
        <x:v>Person</x:v>
      </x:c>
      <x:c r="F1022" s="37" t="str">
        <x:v>Borderline</x:v>
      </x:c>
      <x:c r="G1022" s="33" t="str">
        <x:v>Strong case for exceptional originality, but I am less certain of equivalence to the user's very high benchmark.</x:v>
      </x:c>
      <x:c r="H1022" s="29" t="str">
        <x:v>Medicine roster</x:v>
      </x:c>
    </x:row>
    <x:row r="1023" ht="36" customHeight="1">
      <x:c r="A1023" s="29" t="str">
        <x:v>Medicine</x:v>
      </x:c>
      <x:c r="B1023" s="33" t="str">
        <x:v>Shinya Yamanaka</x:v>
      </x:c>
      <x:c r="C1023" s="35" t="n">
        <x:v>2012</x:v>
      </x:c>
      <x:c r="D1023" s="36" t="str">
        <x:v>2012</x:v>
      </x:c>
      <x:c r="E1023" s="36" t="str">
        <x:v>Person</x:v>
      </x:c>
      <x:c r="F1023" s="37" t="str">
        <x:v>Borderline</x:v>
      </x:c>
      <x:c r="G1023" s="33" t="str">
        <x:v>Strong case for exceptional originality, but I am less certain of equivalence to the user's very high benchmark.</x:v>
      </x:c>
      <x:c r="H1023" s="29" t="str">
        <x:v>Medicine roster</x:v>
      </x:c>
    </x:row>
    <x:row r="1024" ht="36" customHeight="1">
      <x:c r="A1024" s="29" t="str">
        <x:v>Medicine</x:v>
      </x:c>
      <x:c r="B1024" s="33" t="str">
        <x:v>James E. Rothman</x:v>
      </x:c>
      <x:c r="C1024" s="35" t="n">
        <x:v>2013</x:v>
      </x:c>
      <x:c r="D1024" s="36" t="str">
        <x:v>2013</x:v>
      </x:c>
      <x:c r="E1024" s="36" t="str">
        <x:v>Person</x:v>
      </x:c>
      <x:c r="F1024" s="37" t="str">
        <x:v>Not established here</x:v>
      </x:c>
      <x:c r="G1024" s="33" t="str">
        <x:v>Not included in this affirmative shortlist. This is not a finding of non-genius.</x:v>
      </x:c>
      <x:c r="H1024" s="29" t="str">
        <x:v>Medicine roster</x:v>
      </x:c>
    </x:row>
    <x:row r="1025" ht="36" customHeight="1">
      <x:c r="A1025" s="29" t="str">
        <x:v>Medicine</x:v>
      </x:c>
      <x:c r="B1025" s="33" t="str">
        <x:v>Randy W. Schekman</x:v>
      </x:c>
      <x:c r="C1025" s="35" t="n">
        <x:v>2013</x:v>
      </x:c>
      <x:c r="D1025" s="36" t="str">
        <x:v>2013</x:v>
      </x:c>
      <x:c r="E1025" s="36" t="str">
        <x:v>Person</x:v>
      </x:c>
      <x:c r="F1025" s="37" t="str">
        <x:v>Not established here</x:v>
      </x:c>
      <x:c r="G1025" s="33" t="str">
        <x:v>Not included in this affirmative shortlist. This is not a finding of non-genius.</x:v>
      </x:c>
      <x:c r="H1025" s="29" t="str">
        <x:v>Medicine roster</x:v>
      </x:c>
    </x:row>
    <x:row r="1026" ht="36" customHeight="1">
      <x:c r="A1026" s="29" t="str">
        <x:v>Medicine</x:v>
      </x:c>
      <x:c r="B1026" s="33" t="str">
        <x:v>Thomas C. Südhof</x:v>
      </x:c>
      <x:c r="C1026" s="35" t="n">
        <x:v>2013</x:v>
      </x:c>
      <x:c r="D1026" s="36" t="str">
        <x:v>2013</x:v>
      </x:c>
      <x:c r="E1026" s="36" t="str">
        <x:v>Person</x:v>
      </x:c>
      <x:c r="F1026" s="37" t="str">
        <x:v>Not established here</x:v>
      </x:c>
      <x:c r="G1026" s="33" t="str">
        <x:v>Not included in this affirmative shortlist. This is not a finding of non-genius.</x:v>
      </x:c>
      <x:c r="H1026" s="29" t="str">
        <x:v>Medicine roster</x:v>
      </x:c>
    </x:row>
    <x:row r="1027" ht="36" customHeight="1">
      <x:c r="A1027" s="29" t="str">
        <x:v>Medicine</x:v>
      </x:c>
      <x:c r="B1027" s="33" t="str">
        <x:v>Edvard I. Moser</x:v>
      </x:c>
      <x:c r="C1027" s="35" t="n">
        <x:v>2014</x:v>
      </x:c>
      <x:c r="D1027" s="36" t="str">
        <x:v>2014</x:v>
      </x:c>
      <x:c r="E1027" s="36" t="str">
        <x:v>Person</x:v>
      </x:c>
      <x:c r="F1027" s="37" t="str">
        <x:v>Not established here</x:v>
      </x:c>
      <x:c r="G1027" s="33" t="str">
        <x:v>Not included in this affirmative shortlist. This is not a finding of non-genius.</x:v>
      </x:c>
      <x:c r="H1027" s="29" t="str">
        <x:v>Medicine roster</x:v>
      </x:c>
    </x:row>
    <x:row r="1028" ht="36" customHeight="1">
      <x:c r="A1028" s="29" t="str">
        <x:v>Medicine</x:v>
      </x:c>
      <x:c r="B1028" s="33" t="str">
        <x:v>John O'Keefe</x:v>
      </x:c>
      <x:c r="C1028" s="35" t="n">
        <x:v>2014</x:v>
      </x:c>
      <x:c r="D1028" s="36" t="str">
        <x:v>2014</x:v>
      </x:c>
      <x:c r="E1028" s="36" t="str">
        <x:v>Person</x:v>
      </x:c>
      <x:c r="F1028" s="37" t="str">
        <x:v>Not established here</x:v>
      </x:c>
      <x:c r="G1028" s="33" t="str">
        <x:v>Not included in this affirmative shortlist. This is not a finding of non-genius.</x:v>
      </x:c>
      <x:c r="H1028" s="29" t="str">
        <x:v>Medicine roster</x:v>
      </x:c>
    </x:row>
    <x:row r="1029" ht="36" customHeight="1">
      <x:c r="A1029" s="29" t="str">
        <x:v>Medicine</x:v>
      </x:c>
      <x:c r="B1029" s="33" t="str">
        <x:v>May-Britt Moser</x:v>
      </x:c>
      <x:c r="C1029" s="35" t="n">
        <x:v>2014</x:v>
      </x:c>
      <x:c r="D1029" s="36" t="str">
        <x:v>2014</x:v>
      </x:c>
      <x:c r="E1029" s="36" t="str">
        <x:v>Person</x:v>
      </x:c>
      <x:c r="F1029" s="37" t="str">
        <x:v>Not established here</x:v>
      </x:c>
      <x:c r="G1029" s="33" t="str">
        <x:v>Not included in this affirmative shortlist. This is not a finding of non-genius.</x:v>
      </x:c>
      <x:c r="H1029" s="29" t="str">
        <x:v>Medicine roster</x:v>
      </x:c>
    </x:row>
    <x:row r="1030" ht="36" customHeight="1">
      <x:c r="A1030" s="29" t="str">
        <x:v>Medicine</x:v>
      </x:c>
      <x:c r="B1030" s="33" t="str">
        <x:v>Satoshi Ōmura</x:v>
      </x:c>
      <x:c r="C1030" s="35" t="n">
        <x:v>2015</x:v>
      </x:c>
      <x:c r="D1030" s="36" t="str">
        <x:v>2015</x:v>
      </x:c>
      <x:c r="E1030" s="36" t="str">
        <x:v>Person</x:v>
      </x:c>
      <x:c r="F1030" s="37" t="str">
        <x:v>Not established here</x:v>
      </x:c>
      <x:c r="G1030" s="33" t="str">
        <x:v>Not included in this affirmative shortlist. This is not a finding of non-genius.</x:v>
      </x:c>
      <x:c r="H1030" s="29" t="str">
        <x:v>Medicine roster</x:v>
      </x:c>
    </x:row>
    <x:row r="1031" ht="36" customHeight="1">
      <x:c r="A1031" s="29" t="str">
        <x:v>Medicine</x:v>
      </x:c>
      <x:c r="B1031" s="33" t="str">
        <x:v>Tu Youyou</x:v>
      </x:c>
      <x:c r="C1031" s="35" t="n">
        <x:v>2015</x:v>
      </x:c>
      <x:c r="D1031" s="36" t="str">
        <x:v>2015</x:v>
      </x:c>
      <x:c r="E1031" s="36" t="str">
        <x:v>Person</x:v>
      </x:c>
      <x:c r="F1031" s="37" t="str">
        <x:v>Not established here</x:v>
      </x:c>
      <x:c r="G1031" s="33" t="str">
        <x:v>Not included in this affirmative shortlist. This is not a finding of non-genius.</x:v>
      </x:c>
      <x:c r="H1031" s="29" t="str">
        <x:v>Medicine roster</x:v>
      </x:c>
    </x:row>
    <x:row r="1032" ht="36" customHeight="1">
      <x:c r="A1032" s="29" t="str">
        <x:v>Medicine</x:v>
      </x:c>
      <x:c r="B1032" s="33" t="str">
        <x:v>William C. Campbell</x:v>
      </x:c>
      <x:c r="C1032" s="35" t="n">
        <x:v>2015</x:v>
      </x:c>
      <x:c r="D1032" s="36" t="str">
        <x:v>2015</x:v>
      </x:c>
      <x:c r="E1032" s="36" t="str">
        <x:v>Person</x:v>
      </x:c>
      <x:c r="F1032" s="37" t="str">
        <x:v>Not established here</x:v>
      </x:c>
      <x:c r="G1032" s="33" t="str">
        <x:v>Not included in this affirmative shortlist. This is not a finding of non-genius.</x:v>
      </x:c>
      <x:c r="H1032" s="29" t="str">
        <x:v>Medicine roster</x:v>
      </x:c>
    </x:row>
    <x:row r="1033" ht="36" customHeight="1">
      <x:c r="A1033" s="29" t="str">
        <x:v>Medicine</x:v>
      </x:c>
      <x:c r="B1033" s="33" t="str">
        <x:v>Yoshinori Ohsumi</x:v>
      </x:c>
      <x:c r="C1033" s="35" t="n">
        <x:v>2016</x:v>
      </x:c>
      <x:c r="D1033" s="36" t="str">
        <x:v>2016</x:v>
      </x:c>
      <x:c r="E1033" s="36" t="str">
        <x:v>Person</x:v>
      </x:c>
      <x:c r="F1033" s="37" t="str">
        <x:v>Not established here</x:v>
      </x:c>
      <x:c r="G1033" s="33" t="str">
        <x:v>Not included in this affirmative shortlist. This is not a finding of non-genius.</x:v>
      </x:c>
      <x:c r="H1033" s="29" t="str">
        <x:v>Medicine roster</x:v>
      </x:c>
    </x:row>
    <x:row r="1034" ht="36" customHeight="1">
      <x:c r="A1034" s="29" t="str">
        <x:v>Medicine</x:v>
      </x:c>
      <x:c r="B1034" s="33" t="str">
        <x:v>Jeffrey C. Hall</x:v>
      </x:c>
      <x:c r="C1034" s="35" t="n">
        <x:v>2017</x:v>
      </x:c>
      <x:c r="D1034" s="36" t="str">
        <x:v>2017</x:v>
      </x:c>
      <x:c r="E1034" s="36" t="str">
        <x:v>Person</x:v>
      </x:c>
      <x:c r="F1034" s="37" t="str">
        <x:v>Not established here</x:v>
      </x:c>
      <x:c r="G1034" s="33" t="str">
        <x:v>Not included in this affirmative shortlist. This is not a finding of non-genius.</x:v>
      </x:c>
      <x:c r="H1034" s="29" t="str">
        <x:v>Medicine roster</x:v>
      </x:c>
    </x:row>
    <x:row r="1035" ht="36" customHeight="1">
      <x:c r="A1035" s="29" t="str">
        <x:v>Medicine</x:v>
      </x:c>
      <x:c r="B1035" s="33" t="str">
        <x:v>Michael Rosbash</x:v>
      </x:c>
      <x:c r="C1035" s="35" t="n">
        <x:v>2017</x:v>
      </x:c>
      <x:c r="D1035" s="36" t="str">
        <x:v>2017</x:v>
      </x:c>
      <x:c r="E1035" s="36" t="str">
        <x:v>Person</x:v>
      </x:c>
      <x:c r="F1035" s="37" t="str">
        <x:v>Not established here</x:v>
      </x:c>
      <x:c r="G1035" s="33" t="str">
        <x:v>Not included in this affirmative shortlist. This is not a finding of non-genius.</x:v>
      </x:c>
      <x:c r="H1035" s="29" t="str">
        <x:v>Medicine roster</x:v>
      </x:c>
    </x:row>
    <x:row r="1036" ht="36" customHeight="1">
      <x:c r="A1036" s="29" t="str">
        <x:v>Medicine</x:v>
      </x:c>
      <x:c r="B1036" s="33" t="str">
        <x:v>Michael W. Young</x:v>
      </x:c>
      <x:c r="C1036" s="35" t="n">
        <x:v>2017</x:v>
      </x:c>
      <x:c r="D1036" s="36" t="str">
        <x:v>2017</x:v>
      </x:c>
      <x:c r="E1036" s="36" t="str">
        <x:v>Person</x:v>
      </x:c>
      <x:c r="F1036" s="37" t="str">
        <x:v>Not established here</x:v>
      </x:c>
      <x:c r="G1036" s="33" t="str">
        <x:v>Not included in this affirmative shortlist. This is not a finding of non-genius.</x:v>
      </x:c>
      <x:c r="H1036" s="29" t="str">
        <x:v>Medicine roster</x:v>
      </x:c>
    </x:row>
    <x:row r="1037" ht="36" customHeight="1">
      <x:c r="A1037" s="29" t="str">
        <x:v>Medicine</x:v>
      </x:c>
      <x:c r="B1037" s="33" t="str">
        <x:v>James P. Allison</x:v>
      </x:c>
      <x:c r="C1037" s="35" t="n">
        <x:v>2018</x:v>
      </x:c>
      <x:c r="D1037" s="36" t="str">
        <x:v>2018</x:v>
      </x:c>
      <x:c r="E1037" s="36" t="str">
        <x:v>Person</x:v>
      </x:c>
      <x:c r="F1037" s="37" t="str">
        <x:v>Not established here</x:v>
      </x:c>
      <x:c r="G1037" s="33" t="str">
        <x:v>Not included in this affirmative shortlist. This is not a finding of non-genius.</x:v>
      </x:c>
      <x:c r="H1037" s="29" t="str">
        <x:v>Medicine roster</x:v>
      </x:c>
    </x:row>
    <x:row r="1038" ht="36" customHeight="1">
      <x:c r="A1038" s="29" t="str">
        <x:v>Medicine</x:v>
      </x:c>
      <x:c r="B1038" s="33" t="str">
        <x:v>Tasuku Honjo</x:v>
      </x:c>
      <x:c r="C1038" s="35" t="n">
        <x:v>2018</x:v>
      </x:c>
      <x:c r="D1038" s="36" t="str">
        <x:v>2018</x:v>
      </x:c>
      <x:c r="E1038" s="36" t="str">
        <x:v>Person</x:v>
      </x:c>
      <x:c r="F1038" s="37" t="str">
        <x:v>Not established here</x:v>
      </x:c>
      <x:c r="G1038" s="33" t="str">
        <x:v>Not included in this affirmative shortlist. This is not a finding of non-genius.</x:v>
      </x:c>
      <x:c r="H1038" s="29" t="str">
        <x:v>Medicine roster</x:v>
      </x:c>
    </x:row>
    <x:row r="1039" ht="36" customHeight="1">
      <x:c r="A1039" s="29" t="str">
        <x:v>Medicine</x:v>
      </x:c>
      <x:c r="B1039" s="33" t="str">
        <x:v>Gregg L. Semenza</x:v>
      </x:c>
      <x:c r="C1039" s="35" t="n">
        <x:v>2019</x:v>
      </x:c>
      <x:c r="D1039" s="36" t="str">
        <x:v>2019</x:v>
      </x:c>
      <x:c r="E1039" s="36" t="str">
        <x:v>Person</x:v>
      </x:c>
      <x:c r="F1039" s="37" t="str">
        <x:v>Not established here</x:v>
      </x:c>
      <x:c r="G1039" s="33" t="str">
        <x:v>Not included in this affirmative shortlist. This is not a finding of non-genius.</x:v>
      </x:c>
      <x:c r="H1039" s="29" t="str">
        <x:v>Medicine roster</x:v>
      </x:c>
    </x:row>
    <x:row r="1040" ht="36" customHeight="1">
      <x:c r="A1040" s="29" t="str">
        <x:v>Medicine</x:v>
      </x:c>
      <x:c r="B1040" s="33" t="str">
        <x:v>Peter J. Ratcliffe</x:v>
      </x:c>
      <x:c r="C1040" s="35" t="n">
        <x:v>2019</x:v>
      </x:c>
      <x:c r="D1040" s="36" t="str">
        <x:v>2019</x:v>
      </x:c>
      <x:c r="E1040" s="36" t="str">
        <x:v>Person</x:v>
      </x:c>
      <x:c r="F1040" s="37" t="str">
        <x:v>Not established here</x:v>
      </x:c>
      <x:c r="G1040" s="33" t="str">
        <x:v>Not included in this affirmative shortlist. This is not a finding of non-genius.</x:v>
      </x:c>
      <x:c r="H1040" s="29" t="str">
        <x:v>Medicine roster</x:v>
      </x:c>
    </x:row>
    <x:row r="1041" ht="36" customHeight="1">
      <x:c r="A1041" s="29" t="str">
        <x:v>Medicine</x:v>
      </x:c>
      <x:c r="B1041" s="33" t="str">
        <x:v>William Kaelin Jr.</x:v>
      </x:c>
      <x:c r="C1041" s="35" t="n">
        <x:v>2019</x:v>
      </x:c>
      <x:c r="D1041" s="36" t="str">
        <x:v>2019</x:v>
      </x:c>
      <x:c r="E1041" s="36" t="str">
        <x:v>Person</x:v>
      </x:c>
      <x:c r="F1041" s="37" t="str">
        <x:v>Not established here</x:v>
      </x:c>
      <x:c r="G1041" s="33" t="str">
        <x:v>Not included in this affirmative shortlist. This is not a finding of non-genius.</x:v>
      </x:c>
      <x:c r="H1041" s="29" t="str">
        <x:v>Medicine roster</x:v>
      </x:c>
    </x:row>
    <x:row r="1042" ht="36" customHeight="1">
      <x:c r="A1042" s="29" t="str">
        <x:v>Medicine</x:v>
      </x:c>
      <x:c r="B1042" s="33" t="str">
        <x:v>Charles M. Rice</x:v>
      </x:c>
      <x:c r="C1042" s="35" t="n">
        <x:v>2020</x:v>
      </x:c>
      <x:c r="D1042" s="36" t="str">
        <x:v>2020</x:v>
      </x:c>
      <x:c r="E1042" s="36" t="str">
        <x:v>Person</x:v>
      </x:c>
      <x:c r="F1042" s="37" t="str">
        <x:v>Not established here</x:v>
      </x:c>
      <x:c r="G1042" s="33" t="str">
        <x:v>Not included in this affirmative shortlist. This is not a finding of non-genius.</x:v>
      </x:c>
      <x:c r="H1042" s="29" t="str">
        <x:v>Medicine roster</x:v>
      </x:c>
    </x:row>
    <x:row r="1043" ht="36" customHeight="1">
      <x:c r="A1043" s="29" t="str">
        <x:v>Medicine</x:v>
      </x:c>
      <x:c r="B1043" s="33" t="str">
        <x:v>Harvey J. Alter</x:v>
      </x:c>
      <x:c r="C1043" s="35" t="n">
        <x:v>2020</x:v>
      </x:c>
      <x:c r="D1043" s="36" t="str">
        <x:v>2020</x:v>
      </x:c>
      <x:c r="E1043" s="36" t="str">
        <x:v>Person</x:v>
      </x:c>
      <x:c r="F1043" s="37" t="str">
        <x:v>Not established here</x:v>
      </x:c>
      <x:c r="G1043" s="33" t="str">
        <x:v>Not included in this affirmative shortlist. This is not a finding of non-genius.</x:v>
      </x:c>
      <x:c r="H1043" s="29" t="str">
        <x:v>Medicine roster</x:v>
      </x:c>
    </x:row>
    <x:row r="1044" ht="36" customHeight="1">
      <x:c r="A1044" s="29" t="str">
        <x:v>Medicine</x:v>
      </x:c>
      <x:c r="B1044" s="33" t="str">
        <x:v>Michael Houghton</x:v>
      </x:c>
      <x:c r="C1044" s="35" t="n">
        <x:v>2020</x:v>
      </x:c>
      <x:c r="D1044" s="36" t="str">
        <x:v>2020</x:v>
      </x:c>
      <x:c r="E1044" s="36" t="str">
        <x:v>Person</x:v>
      </x:c>
      <x:c r="F1044" s="37" t="str">
        <x:v>Not established here</x:v>
      </x:c>
      <x:c r="G1044" s="33" t="str">
        <x:v>Not included in this affirmative shortlist. This is not a finding of non-genius.</x:v>
      </x:c>
      <x:c r="H1044" s="29" t="str">
        <x:v>Medicine roster</x:v>
      </x:c>
    </x:row>
    <x:row r="1045" ht="36" customHeight="1">
      <x:c r="A1045" s="29" t="str">
        <x:v>Medicine</x:v>
      </x:c>
      <x:c r="B1045" s="33" t="str">
        <x:v>Ardem Patapoutian</x:v>
      </x:c>
      <x:c r="C1045" s="35" t="n">
        <x:v>2021</x:v>
      </x:c>
      <x:c r="D1045" s="36" t="str">
        <x:v>2021</x:v>
      </x:c>
      <x:c r="E1045" s="36" t="str">
        <x:v>Person</x:v>
      </x:c>
      <x:c r="F1045" s="37" t="str">
        <x:v>Not established here</x:v>
      </x:c>
      <x:c r="G1045" s="33" t="str">
        <x:v>Not included in this affirmative shortlist. This is not a finding of non-genius.</x:v>
      </x:c>
      <x:c r="H1045" s="29" t="str">
        <x:v>Medicine roster</x:v>
      </x:c>
    </x:row>
    <x:row r="1046" ht="36" customHeight="1">
      <x:c r="A1046" s="29" t="str">
        <x:v>Medicine</x:v>
      </x:c>
      <x:c r="B1046" s="33" t="str">
        <x:v>David Julius</x:v>
      </x:c>
      <x:c r="C1046" s="35" t="n">
        <x:v>2021</x:v>
      </x:c>
      <x:c r="D1046" s="36" t="str">
        <x:v>2021</x:v>
      </x:c>
      <x:c r="E1046" s="36" t="str">
        <x:v>Person</x:v>
      </x:c>
      <x:c r="F1046" s="37" t="str">
        <x:v>Not established here</x:v>
      </x:c>
      <x:c r="G1046" s="33" t="str">
        <x:v>Not included in this affirmative shortlist. This is not a finding of non-genius.</x:v>
      </x:c>
      <x:c r="H1046" s="29" t="str">
        <x:v>Medicine roster</x:v>
      </x:c>
    </x:row>
    <x:row r="1047" ht="36" customHeight="1">
      <x:c r="A1047" s="29" t="str">
        <x:v>Medicine</x:v>
      </x:c>
      <x:c r="B1047" s="33" t="str">
        <x:v>Svante Pääbo</x:v>
      </x:c>
      <x:c r="C1047" s="35" t="n">
        <x:v>2022</x:v>
      </x:c>
      <x:c r="D1047" s="36" t="str">
        <x:v>2022</x:v>
      </x:c>
      <x:c r="E1047" s="36" t="str">
        <x:v>Person</x:v>
      </x:c>
      <x:c r="F1047" s="37" t="str">
        <x:v>Borderline</x:v>
      </x:c>
      <x:c r="G1047" s="33" t="str">
        <x:v>Strong case for exceptional originality, but I am less certain of equivalence to the user's very high benchmark.</x:v>
      </x:c>
      <x:c r="H1047" s="29" t="str">
        <x:v>Medicine roster</x:v>
      </x:c>
    </x:row>
    <x:row r="1048" ht="36" customHeight="1">
      <x:c r="A1048" s="29" t="str">
        <x:v>Medicine</x:v>
      </x:c>
      <x:c r="B1048" s="33" t="str">
        <x:v>Drew Weissman</x:v>
      </x:c>
      <x:c r="C1048" s="35" t="n">
        <x:v>2023</x:v>
      </x:c>
      <x:c r="D1048" s="36" t="str">
        <x:v>2023</x:v>
      </x:c>
      <x:c r="E1048" s="36" t="str">
        <x:v>Person</x:v>
      </x:c>
      <x:c r="F1048" s="37" t="str">
        <x:v>Borderline</x:v>
      </x:c>
      <x:c r="G1048" s="33" t="str">
        <x:v>Strong case for exceptional originality, but I am less certain of equivalence to the user's very high benchmark.</x:v>
      </x:c>
      <x:c r="H1048" s="29" t="str">
        <x:v>Medicine roster</x:v>
      </x:c>
    </x:row>
    <x:row r="1049" ht="36" customHeight="1">
      <x:c r="A1049" s="29" t="str">
        <x:v>Medicine</x:v>
      </x:c>
      <x:c r="B1049" s="33" t="str">
        <x:v>Katalin Karikó</x:v>
      </x:c>
      <x:c r="C1049" s="35" t="n">
        <x:v>2023</x:v>
      </x:c>
      <x:c r="D1049" s="36" t="str">
        <x:v>2023</x:v>
      </x:c>
      <x:c r="E1049" s="36" t="str">
        <x:v>Person</x:v>
      </x:c>
      <x:c r="F1049" s="37" t="str">
        <x:v>Borderline</x:v>
      </x:c>
      <x:c r="G1049" s="33" t="str">
        <x:v>Strong case for exceptional originality, but I am less certain of equivalence to the user's very high benchmark.</x:v>
      </x:c>
      <x:c r="H1049" s="29" t="str">
        <x:v>Medicine roster</x:v>
      </x:c>
    </x:row>
    <x:row r="1050" ht="36" customHeight="1">
      <x:c r="A1050" s="29" t="str">
        <x:v>Medicine</x:v>
      </x:c>
      <x:c r="B1050" s="33" t="str">
        <x:v>Gary Ruvkun</x:v>
      </x:c>
      <x:c r="C1050" s="35" t="n">
        <x:v>2024</x:v>
      </x:c>
      <x:c r="D1050" s="36" t="str">
        <x:v>2024</x:v>
      </x:c>
      <x:c r="E1050" s="36" t="str">
        <x:v>Person</x:v>
      </x:c>
      <x:c r="F1050" s="37" t="str">
        <x:v>Not established here</x:v>
      </x:c>
      <x:c r="G1050" s="33" t="str">
        <x:v>Not included in this affirmative shortlist. This is not a finding of non-genius.</x:v>
      </x:c>
      <x:c r="H1050" s="29" t="str">
        <x:v>Medicine roster</x:v>
      </x:c>
    </x:row>
    <x:row r="1051" ht="36" customHeight="1">
      <x:c r="A1051" s="29" t="str">
        <x:v>Medicine</x:v>
      </x:c>
      <x:c r="B1051" s="33" t="str">
        <x:v>Victor Ambros</x:v>
      </x:c>
      <x:c r="C1051" s="35" t="n">
        <x:v>2024</x:v>
      </x:c>
      <x:c r="D1051" s="36" t="str">
        <x:v>2024</x:v>
      </x:c>
      <x:c r="E1051" s="36" t="str">
        <x:v>Person</x:v>
      </x:c>
      <x:c r="F1051" s="37" t="str">
        <x:v>Not established here</x:v>
      </x:c>
      <x:c r="G1051" s="33" t="str">
        <x:v>Not included in this affirmative shortlist. This is not a finding of non-genius.</x:v>
      </x:c>
      <x:c r="H1051" s="29" t="str">
        <x:v>Medicine roster</x:v>
      </x:c>
    </x:row>
    <x:row r="1052" ht="36" customHeight="1">
      <x:c r="A1052" s="29" t="str">
        <x:v>Medicine</x:v>
      </x:c>
      <x:c r="B1052" s="33" t="str">
        <x:v>Fred Ramsdell</x:v>
      </x:c>
      <x:c r="C1052" s="35" t="n">
        <x:v>2025</x:v>
      </x:c>
      <x:c r="D1052" s="36" t="str">
        <x:v>2025</x:v>
      </x:c>
      <x:c r="E1052" s="36" t="str">
        <x:v>Person</x:v>
      </x:c>
      <x:c r="F1052" s="37" t="str">
        <x:v>Not established here</x:v>
      </x:c>
      <x:c r="G1052" s="33" t="str">
        <x:v>Not included in this affirmative shortlist. This is not a finding of non-genius.</x:v>
      </x:c>
      <x:c r="H1052" s="29" t="str">
        <x:v>Medicine roster</x:v>
      </x:c>
    </x:row>
    <x:row r="1053" ht="36" customHeight="1">
      <x:c r="A1053" s="29" t="str">
        <x:v>Medicine</x:v>
      </x:c>
      <x:c r="B1053" s="33" t="str">
        <x:v>Mary E. Brunkow</x:v>
      </x:c>
      <x:c r="C1053" s="35" t="n">
        <x:v>2025</x:v>
      </x:c>
      <x:c r="D1053" s="36" t="str">
        <x:v>2025</x:v>
      </x:c>
      <x:c r="E1053" s="36" t="str">
        <x:v>Person</x:v>
      </x:c>
      <x:c r="F1053" s="37" t="str">
        <x:v>Not established here</x:v>
      </x:c>
      <x:c r="G1053" s="33" t="str">
        <x:v>Not included in this affirmative shortlist. This is not a finding of non-genius.</x:v>
      </x:c>
      <x:c r="H1053" s="29" t="str">
        <x:v>Medicine roster</x:v>
      </x:c>
    </x:row>
    <x:row r="1054" ht="36" customHeight="1">
      <x:c r="A1054" s="29" t="str">
        <x:v>Medicine</x:v>
      </x:c>
      <x:c r="B1054" s="33" t="str">
        <x:v>Shimon Sakaguchi</x:v>
      </x:c>
      <x:c r="C1054" s="35" t="n">
        <x:v>2025</x:v>
      </x:c>
      <x:c r="D1054" s="36" t="str">
        <x:v>2025</x:v>
      </x:c>
      <x:c r="E1054" s="36" t="str">
        <x:v>Person</x:v>
      </x:c>
      <x:c r="F1054" s="37" t="str">
        <x:v>Not established here</x:v>
      </x:c>
      <x:c r="G1054" s="33" t="str">
        <x:v>Not included in this affirmative shortlist. This is not a finding of non-genius.</x:v>
      </x:c>
      <x:c r="H1054" s="29" t="str">
        <x:v>Medicine roster</x:v>
      </x:c>
    </x:row>
    <x:row r="1055" ht="36" customHeight="1">
      <x:c r="A1055" s="29" t="str">
        <x:v>Peace</x:v>
      </x:c>
      <x:c r="B1055" s="33" t="str">
        <x:v>Frédéric Passy</x:v>
      </x:c>
      <x:c r="C1055" s="35" t="n">
        <x:v>1901</x:v>
      </x:c>
      <x:c r="D1055" s="36" t="str">
        <x:v>1901</x:v>
      </x:c>
      <x:c r="E1055" s="36" t="str">
        <x:v>Person</x:v>
      </x:c>
      <x:c r="F1055" s="37" t="str">
        <x:v>Not established here</x:v>
      </x:c>
      <x:c r="G1055" s="33" t="str">
        <x:v>Not included in this affirmative shortlist. This is not a finding of non-genius.</x:v>
      </x:c>
      <x:c r="H1055" s="29" t="str">
        <x:v>Peace roster</x:v>
      </x:c>
    </x:row>
    <x:row r="1056" ht="36" customHeight="1">
      <x:c r="A1056" s="29" t="str">
        <x:v>Peace</x:v>
      </x:c>
      <x:c r="B1056" s="33" t="str">
        <x:v>Henry Dunant</x:v>
      </x:c>
      <x:c r="C1056" s="35" t="n">
        <x:v>1901</x:v>
      </x:c>
      <x:c r="D1056" s="36" t="str">
        <x:v>1901</x:v>
      </x:c>
      <x:c r="E1056" s="36" t="str">
        <x:v>Person</x:v>
      </x:c>
      <x:c r="F1056" s="37" t="str">
        <x:v>Not established here</x:v>
      </x:c>
      <x:c r="G1056" s="33" t="str">
        <x:v>Not included in this affirmative shortlist. This is not a finding of non-genius.</x:v>
      </x:c>
      <x:c r="H1056" s="29" t="str">
        <x:v>Peace roster</x:v>
      </x:c>
    </x:row>
    <x:row r="1057" ht="36" customHeight="1">
      <x:c r="A1057" s="29" t="str">
        <x:v>Peace</x:v>
      </x:c>
      <x:c r="B1057" s="33" t="str">
        <x:v>Charles Albert Gobat</x:v>
      </x:c>
      <x:c r="C1057" s="35" t="n">
        <x:v>1902</x:v>
      </x:c>
      <x:c r="D1057" s="36" t="str">
        <x:v>1902</x:v>
      </x:c>
      <x:c r="E1057" s="36" t="str">
        <x:v>Person</x:v>
      </x:c>
      <x:c r="F1057" s="37" t="str">
        <x:v>Not established here</x:v>
      </x:c>
      <x:c r="G1057" s="33" t="str">
        <x:v>Not included in this affirmative shortlist. This is not a finding of non-genius.</x:v>
      </x:c>
      <x:c r="H1057" s="29" t="str">
        <x:v>Peace roster</x:v>
      </x:c>
    </x:row>
    <x:row r="1058" ht="36" customHeight="1">
      <x:c r="A1058" s="29" t="str">
        <x:v>Peace</x:v>
      </x:c>
      <x:c r="B1058" s="33" t="str">
        <x:v>Élie Ducommun</x:v>
      </x:c>
      <x:c r="C1058" s="35" t="n">
        <x:v>1902</x:v>
      </x:c>
      <x:c r="D1058" s="36" t="str">
        <x:v>1902</x:v>
      </x:c>
      <x:c r="E1058" s="36" t="str">
        <x:v>Person</x:v>
      </x:c>
      <x:c r="F1058" s="37" t="str">
        <x:v>Not established here</x:v>
      </x:c>
      <x:c r="G1058" s="33" t="str">
        <x:v>Not included in this affirmative shortlist. This is not a finding of non-genius.</x:v>
      </x:c>
      <x:c r="H1058" s="29" t="str">
        <x:v>Peace roster</x:v>
      </x:c>
    </x:row>
    <x:row r="1059" ht="36" customHeight="1">
      <x:c r="A1059" s="29" t="str">
        <x:v>Peace</x:v>
      </x:c>
      <x:c r="B1059" s="33" t="str">
        <x:v>Randal Cremer</x:v>
      </x:c>
      <x:c r="C1059" s="35" t="n">
        <x:v>1903</x:v>
      </x:c>
      <x:c r="D1059" s="36" t="str">
        <x:v>1903</x:v>
      </x:c>
      <x:c r="E1059" s="36" t="str">
        <x:v>Person</x:v>
      </x:c>
      <x:c r="F1059" s="37" t="str">
        <x:v>Not established here</x:v>
      </x:c>
      <x:c r="G1059" s="33" t="str">
        <x:v>Not included in this affirmative shortlist. This is not a finding of non-genius.</x:v>
      </x:c>
      <x:c r="H1059" s="29" t="str">
        <x:v>Peace roster</x:v>
      </x:c>
    </x:row>
    <x:row r="1060" ht="36" customHeight="1">
      <x:c r="A1060" s="29" t="str">
        <x:v>Peace</x:v>
      </x:c>
      <x:c r="B1060" s="33" t="str">
        <x:v>Institute of International Law</x:v>
      </x:c>
      <x:c r="C1060" s="35" t="n">
        <x:v>1904</x:v>
      </x:c>
      <x:c r="D1060" s="36" t="str">
        <x:v>1904</x:v>
      </x:c>
      <x:c r="E1060" s="36" t="str">
        <x:v>Organization</x:v>
      </x:c>
      <x:c r="F1060" s="37" t="str">
        <x:v>Not applicable</x:v>
      </x:c>
      <x:c r="G1060" s="33" t="str">
        <x:v>Organization: excluded from the person denominator.</x:v>
      </x:c>
      <x:c r="H1060" s="29" t="str">
        <x:v>Peace roster</x:v>
      </x:c>
    </x:row>
    <x:row r="1061" ht="36" customHeight="1">
      <x:c r="A1061" s="29" t="str">
        <x:v>Peace</x:v>
      </x:c>
      <x:c r="B1061" s="33" t="str">
        <x:v>Bertha von Suttner</x:v>
      </x:c>
      <x:c r="C1061" s="35" t="n">
        <x:v>1905</x:v>
      </x:c>
      <x:c r="D1061" s="36" t="str">
        <x:v>1905</x:v>
      </x:c>
      <x:c r="E1061" s="36" t="str">
        <x:v>Person</x:v>
      </x:c>
      <x:c r="F1061" s="37" t="str">
        <x:v>Not established here</x:v>
      </x:c>
      <x:c r="G1061" s="33" t="str">
        <x:v>Not included in this affirmative shortlist. This is not a finding of non-genius.</x:v>
      </x:c>
      <x:c r="H1061" s="29" t="str">
        <x:v>Peace roster</x:v>
      </x:c>
    </x:row>
    <x:row r="1062" ht="36" customHeight="1">
      <x:c r="A1062" s="29" t="str">
        <x:v>Peace</x:v>
      </x:c>
      <x:c r="B1062" s="33" t="str">
        <x:v>Theodore Roosevelt</x:v>
      </x:c>
      <x:c r="C1062" s="35" t="n">
        <x:v>1906</x:v>
      </x:c>
      <x:c r="D1062" s="36" t="str">
        <x:v>1906</x:v>
      </x:c>
      <x:c r="E1062" s="36" t="str">
        <x:v>Person</x:v>
      </x:c>
      <x:c r="F1062" s="37" t="str">
        <x:v>Not established here</x:v>
      </x:c>
      <x:c r="G1062" s="33" t="str">
        <x:v>Not included in this affirmative shortlist. This is not a finding of non-genius.</x:v>
      </x:c>
      <x:c r="H1062" s="29" t="str">
        <x:v>Peace roster</x:v>
      </x:c>
    </x:row>
    <x:row r="1063" ht="36" customHeight="1">
      <x:c r="A1063" s="29" t="str">
        <x:v>Peace</x:v>
      </x:c>
      <x:c r="B1063" s="33" t="str">
        <x:v>Ernesto Teodoro Moneta</x:v>
      </x:c>
      <x:c r="C1063" s="35" t="n">
        <x:v>1907</x:v>
      </x:c>
      <x:c r="D1063" s="36" t="str">
        <x:v>1907</x:v>
      </x:c>
      <x:c r="E1063" s="36" t="str">
        <x:v>Person</x:v>
      </x:c>
      <x:c r="F1063" s="37" t="str">
        <x:v>Not established here</x:v>
      </x:c>
      <x:c r="G1063" s="33" t="str">
        <x:v>Not included in this affirmative shortlist. This is not a finding of non-genius.</x:v>
      </x:c>
      <x:c r="H1063" s="29" t="str">
        <x:v>Peace roster</x:v>
      </x:c>
    </x:row>
    <x:row r="1064" ht="36" customHeight="1">
      <x:c r="A1064" s="29" t="str">
        <x:v>Peace</x:v>
      </x:c>
      <x:c r="B1064" s="33" t="str">
        <x:v>Louis Renault</x:v>
      </x:c>
      <x:c r="C1064" s="35" t="n">
        <x:v>1907</x:v>
      </x:c>
      <x:c r="D1064" s="36" t="str">
        <x:v>1907</x:v>
      </x:c>
      <x:c r="E1064" s="36" t="str">
        <x:v>Person</x:v>
      </x:c>
      <x:c r="F1064" s="37" t="str">
        <x:v>Not established here</x:v>
      </x:c>
      <x:c r="G1064" s="33" t="str">
        <x:v>Not included in this affirmative shortlist. This is not a finding of non-genius.</x:v>
      </x:c>
      <x:c r="H1064" s="29" t="str">
        <x:v>Peace roster</x:v>
      </x:c>
    </x:row>
    <x:row r="1065" ht="36" customHeight="1">
      <x:c r="A1065" s="29" t="str">
        <x:v>Peace</x:v>
      </x:c>
      <x:c r="B1065" s="33" t="str">
        <x:v>Fredrik Bajer</x:v>
      </x:c>
      <x:c r="C1065" s="35" t="n">
        <x:v>1908</x:v>
      </x:c>
      <x:c r="D1065" s="36" t="str">
        <x:v>1908</x:v>
      </x:c>
      <x:c r="E1065" s="36" t="str">
        <x:v>Person</x:v>
      </x:c>
      <x:c r="F1065" s="37" t="str">
        <x:v>Not established here</x:v>
      </x:c>
      <x:c r="G1065" s="33" t="str">
        <x:v>Not included in this affirmative shortlist. This is not a finding of non-genius.</x:v>
      </x:c>
      <x:c r="H1065" s="29" t="str">
        <x:v>Peace roster</x:v>
      </x:c>
    </x:row>
    <x:row r="1066" ht="36" customHeight="1">
      <x:c r="A1066" s="29" t="str">
        <x:v>Peace</x:v>
      </x:c>
      <x:c r="B1066" s="33" t="str">
        <x:v>Klas Pontus Arnoldson</x:v>
      </x:c>
      <x:c r="C1066" s="35" t="n">
        <x:v>1908</x:v>
      </x:c>
      <x:c r="D1066" s="36" t="str">
        <x:v>1908</x:v>
      </x:c>
      <x:c r="E1066" s="36" t="str">
        <x:v>Person</x:v>
      </x:c>
      <x:c r="F1066" s="37" t="str">
        <x:v>Not established here</x:v>
      </x:c>
      <x:c r="G1066" s="33" t="str">
        <x:v>Not included in this affirmative shortlist. This is not a finding of non-genius.</x:v>
      </x:c>
      <x:c r="H1066" s="29" t="str">
        <x:v>Peace roster</x:v>
      </x:c>
    </x:row>
    <x:row r="1067" ht="36" customHeight="1">
      <x:c r="A1067" s="29" t="str">
        <x:v>Peace</x:v>
      </x:c>
      <x:c r="B1067" s="33" t="str">
        <x:v>Auguste Beernaert</x:v>
      </x:c>
      <x:c r="C1067" s="35" t="n">
        <x:v>1909</x:v>
      </x:c>
      <x:c r="D1067" s="36" t="str">
        <x:v>1909</x:v>
      </x:c>
      <x:c r="E1067" s="36" t="str">
        <x:v>Person</x:v>
      </x:c>
      <x:c r="F1067" s="37" t="str">
        <x:v>Not established here</x:v>
      </x:c>
      <x:c r="G1067" s="33" t="str">
        <x:v>Not included in this affirmative shortlist. This is not a finding of non-genius.</x:v>
      </x:c>
      <x:c r="H1067" s="29" t="str">
        <x:v>Peace roster</x:v>
      </x:c>
    </x:row>
    <x:row r="1068" ht="36" customHeight="1">
      <x:c r="A1068" s="29" t="str">
        <x:v>Peace</x:v>
      </x:c>
      <x:c r="B1068" s="33" t="str">
        <x:v>Paul Henri d'Estournelles de Constant</x:v>
      </x:c>
      <x:c r="C1068" s="35" t="n">
        <x:v>1909</x:v>
      </x:c>
      <x:c r="D1068" s="36" t="str">
        <x:v>1909</x:v>
      </x:c>
      <x:c r="E1068" s="36" t="str">
        <x:v>Person</x:v>
      </x:c>
      <x:c r="F1068" s="37" t="str">
        <x:v>Not established here</x:v>
      </x:c>
      <x:c r="G1068" s="33" t="str">
        <x:v>Not included in this affirmative shortlist. This is not a finding of non-genius.</x:v>
      </x:c>
      <x:c r="H1068" s="29" t="str">
        <x:v>Peace roster</x:v>
      </x:c>
    </x:row>
    <x:row r="1069" ht="36" customHeight="1">
      <x:c r="A1069" s="29" t="str">
        <x:v>Peace</x:v>
      </x:c>
      <x:c r="B1069" s="33" t="str">
        <x:v>Permanent International Peace Bureau</x:v>
      </x:c>
      <x:c r="C1069" s="35" t="n">
        <x:v>1910</x:v>
      </x:c>
      <x:c r="D1069" s="36" t="str">
        <x:v>1910</x:v>
      </x:c>
      <x:c r="E1069" s="36" t="str">
        <x:v>Organization</x:v>
      </x:c>
      <x:c r="F1069" s="37" t="str">
        <x:v>Not applicable</x:v>
      </x:c>
      <x:c r="G1069" s="33" t="str">
        <x:v>Organization: excluded from the person denominator.</x:v>
      </x:c>
      <x:c r="H1069" s="29" t="str">
        <x:v>Peace roster</x:v>
      </x:c>
    </x:row>
    <x:row r="1070" ht="36" customHeight="1">
      <x:c r="A1070" s="29" t="str">
        <x:v>Peace</x:v>
      </x:c>
      <x:c r="B1070" s="33" t="str">
        <x:v>Alfred Fried</x:v>
      </x:c>
      <x:c r="C1070" s="35" t="n">
        <x:v>1911</x:v>
      </x:c>
      <x:c r="D1070" s="36" t="str">
        <x:v>1911</x:v>
      </x:c>
      <x:c r="E1070" s="36" t="str">
        <x:v>Person</x:v>
      </x:c>
      <x:c r="F1070" s="37" t="str">
        <x:v>Not established here</x:v>
      </x:c>
      <x:c r="G1070" s="33" t="str">
        <x:v>Not included in this affirmative shortlist. This is not a finding of non-genius.</x:v>
      </x:c>
      <x:c r="H1070" s="29" t="str">
        <x:v>Peace roster</x:v>
      </x:c>
    </x:row>
    <x:row r="1071" ht="36" customHeight="1">
      <x:c r="A1071" s="29" t="str">
        <x:v>Peace</x:v>
      </x:c>
      <x:c r="B1071" s="33" t="str">
        <x:v>Tobias Asser</x:v>
      </x:c>
      <x:c r="C1071" s="35" t="n">
        <x:v>1911</x:v>
      </x:c>
      <x:c r="D1071" s="36" t="str">
        <x:v>1911</x:v>
      </x:c>
      <x:c r="E1071" s="36" t="str">
        <x:v>Person</x:v>
      </x:c>
      <x:c r="F1071" s="37" t="str">
        <x:v>Not established here</x:v>
      </x:c>
      <x:c r="G1071" s="33" t="str">
        <x:v>Not included in this affirmative shortlist. This is not a finding of non-genius.</x:v>
      </x:c>
      <x:c r="H1071" s="29" t="str">
        <x:v>Peace roster</x:v>
      </x:c>
    </x:row>
    <x:row r="1072" ht="36" customHeight="1">
      <x:c r="A1072" s="29" t="str">
        <x:v>Peace</x:v>
      </x:c>
      <x:c r="B1072" s="33" t="str">
        <x:v>Elihu Root</x:v>
      </x:c>
      <x:c r="C1072" s="35" t="n">
        <x:v>1912</x:v>
      </x:c>
      <x:c r="D1072" s="36" t="str">
        <x:v>1912</x:v>
      </x:c>
      <x:c r="E1072" s="36" t="str">
        <x:v>Person</x:v>
      </x:c>
      <x:c r="F1072" s="37" t="str">
        <x:v>Not established here</x:v>
      </x:c>
      <x:c r="G1072" s="33" t="str">
        <x:v>Not included in this affirmative shortlist. This is not a finding of non-genius.</x:v>
      </x:c>
      <x:c r="H1072" s="29" t="str">
        <x:v>Peace roster</x:v>
      </x:c>
    </x:row>
    <x:row r="1073" ht="36" customHeight="1">
      <x:c r="A1073" s="29" t="str">
        <x:v>Peace</x:v>
      </x:c>
      <x:c r="B1073" s="33" t="str">
        <x:v>Henri La Fontaine</x:v>
      </x:c>
      <x:c r="C1073" s="35" t="n">
        <x:v>1913</x:v>
      </x:c>
      <x:c r="D1073" s="36" t="str">
        <x:v>1913</x:v>
      </x:c>
      <x:c r="E1073" s="36" t="str">
        <x:v>Person</x:v>
      </x:c>
      <x:c r="F1073" s="37" t="str">
        <x:v>Not established here</x:v>
      </x:c>
      <x:c r="G1073" s="33" t="str">
        <x:v>Not included in this affirmative shortlist. This is not a finding of non-genius.</x:v>
      </x:c>
      <x:c r="H1073" s="29" t="str">
        <x:v>Peace roster</x:v>
      </x:c>
    </x:row>
    <x:row r="1074" ht="36" customHeight="1">
      <x:c r="A1074" s="29" t="str">
        <x:v>Peace</x:v>
      </x:c>
      <x:c r="B1074" s="33" t="str">
        <x:v>International Committee of the Red Cross</x:v>
      </x:c>
      <x:c r="C1074" s="35" t="n">
        <x:v>1917</x:v>
      </x:c>
      <x:c r="D1074" s="36" t="str">
        <x:v>1917, 1944, 1963</x:v>
      </x:c>
      <x:c r="E1074" s="36" t="str">
        <x:v>Organization</x:v>
      </x:c>
      <x:c r="F1074" s="37" t="str">
        <x:v>Not applicable</x:v>
      </x:c>
      <x:c r="G1074" s="33" t="str">
        <x:v>Organization: excluded from the person denominator.</x:v>
      </x:c>
      <x:c r="H1074" s="29" t="str">
        <x:v>Peace roster</x:v>
      </x:c>
    </x:row>
    <x:row r="1075" ht="36" customHeight="1">
      <x:c r="A1075" s="29" t="str">
        <x:v>Peace</x:v>
      </x:c>
      <x:c r="B1075" s="33" t="str">
        <x:v>Woodrow Wilson</x:v>
      </x:c>
      <x:c r="C1075" s="35" t="n">
        <x:v>1919</x:v>
      </x:c>
      <x:c r="D1075" s="36" t="str">
        <x:v>1919</x:v>
      </x:c>
      <x:c r="E1075" s="36" t="str">
        <x:v>Person</x:v>
      </x:c>
      <x:c r="F1075" s="37" t="str">
        <x:v>Not established here</x:v>
      </x:c>
      <x:c r="G1075" s="33" t="str">
        <x:v>Not included in this affirmative shortlist. This is not a finding of non-genius.</x:v>
      </x:c>
      <x:c r="H1075" s="29" t="str">
        <x:v>Peace roster</x:v>
      </x:c>
    </x:row>
    <x:row r="1076" ht="36" customHeight="1">
      <x:c r="A1076" s="29" t="str">
        <x:v>Peace</x:v>
      </x:c>
      <x:c r="B1076" s="33" t="str">
        <x:v>Léon Bourgeois</x:v>
      </x:c>
      <x:c r="C1076" s="35" t="n">
        <x:v>1920</x:v>
      </x:c>
      <x:c r="D1076" s="36" t="str">
        <x:v>1920</x:v>
      </x:c>
      <x:c r="E1076" s="36" t="str">
        <x:v>Person</x:v>
      </x:c>
      <x:c r="F1076" s="37" t="str">
        <x:v>Not established here</x:v>
      </x:c>
      <x:c r="G1076" s="33" t="str">
        <x:v>Not included in this affirmative shortlist. This is not a finding of non-genius.</x:v>
      </x:c>
      <x:c r="H1076" s="29" t="str">
        <x:v>Peace roster</x:v>
      </x:c>
    </x:row>
    <x:row r="1077" ht="36" customHeight="1">
      <x:c r="A1077" s="29" t="str">
        <x:v>Peace</x:v>
      </x:c>
      <x:c r="B1077" s="33" t="str">
        <x:v>Christian Lange</x:v>
      </x:c>
      <x:c r="C1077" s="35" t="n">
        <x:v>1921</x:v>
      </x:c>
      <x:c r="D1077" s="36" t="str">
        <x:v>1921</x:v>
      </x:c>
      <x:c r="E1077" s="36" t="str">
        <x:v>Person</x:v>
      </x:c>
      <x:c r="F1077" s="37" t="str">
        <x:v>Not established here</x:v>
      </x:c>
      <x:c r="G1077" s="33" t="str">
        <x:v>Not included in this affirmative shortlist. This is not a finding of non-genius.</x:v>
      </x:c>
      <x:c r="H1077" s="29" t="str">
        <x:v>Peace roster</x:v>
      </x:c>
    </x:row>
    <x:row r="1078" ht="36" customHeight="1">
      <x:c r="A1078" s="29" t="str">
        <x:v>Peace</x:v>
      </x:c>
      <x:c r="B1078" s="33" t="str">
        <x:v>Hjalmar Branting</x:v>
      </x:c>
      <x:c r="C1078" s="35" t="n">
        <x:v>1921</x:v>
      </x:c>
      <x:c r="D1078" s="36" t="str">
        <x:v>1921</x:v>
      </x:c>
      <x:c r="E1078" s="36" t="str">
        <x:v>Person</x:v>
      </x:c>
      <x:c r="F1078" s="37" t="str">
        <x:v>Not established here</x:v>
      </x:c>
      <x:c r="G1078" s="33" t="str">
        <x:v>Not included in this affirmative shortlist. This is not a finding of non-genius.</x:v>
      </x:c>
      <x:c r="H1078" s="29" t="str">
        <x:v>Peace roster</x:v>
      </x:c>
    </x:row>
    <x:row r="1079" ht="36" customHeight="1">
      <x:c r="A1079" s="29" t="str">
        <x:v>Peace</x:v>
      </x:c>
      <x:c r="B1079" s="33" t="str">
        <x:v>Fridtjof Nansen</x:v>
      </x:c>
      <x:c r="C1079" s="35" t="n">
        <x:v>1922</x:v>
      </x:c>
      <x:c r="D1079" s="36" t="str">
        <x:v>1922</x:v>
      </x:c>
      <x:c r="E1079" s="36" t="str">
        <x:v>Person</x:v>
      </x:c>
      <x:c r="F1079" s="37" t="str">
        <x:v>Borderline</x:v>
      </x:c>
      <x:c r="G1079" s="33" t="str">
        <x:v>Strong case for exceptional originality, but I am less certain of equivalence to the user's very high benchmark.</x:v>
      </x:c>
      <x:c r="H1079" s="29" t="str">
        <x:v>Peace roster</x:v>
      </x:c>
    </x:row>
    <x:row r="1080" ht="36" customHeight="1">
      <x:c r="A1080" s="29" t="str">
        <x:v>Peace</x:v>
      </x:c>
      <x:c r="B1080" s="33" t="str">
        <x:v>Austen Chamberlain</x:v>
      </x:c>
      <x:c r="C1080" s="35" t="n">
        <x:v>1925</x:v>
      </x:c>
      <x:c r="D1080" s="36" t="str">
        <x:v>1925</x:v>
      </x:c>
      <x:c r="E1080" s="36" t="str">
        <x:v>Person</x:v>
      </x:c>
      <x:c r="F1080" s="37" t="str">
        <x:v>Not established here</x:v>
      </x:c>
      <x:c r="G1080" s="33" t="str">
        <x:v>Not included in this affirmative shortlist. This is not a finding of non-genius.</x:v>
      </x:c>
      <x:c r="H1080" s="29" t="str">
        <x:v>Peace roster</x:v>
      </x:c>
    </x:row>
    <x:row r="1081" ht="36" customHeight="1">
      <x:c r="A1081" s="29" t="str">
        <x:v>Peace</x:v>
      </x:c>
      <x:c r="B1081" s="33" t="str">
        <x:v>Charles G. Dawes</x:v>
      </x:c>
      <x:c r="C1081" s="35" t="n">
        <x:v>1925</x:v>
      </x:c>
      <x:c r="D1081" s="36" t="str">
        <x:v>1925</x:v>
      </x:c>
      <x:c r="E1081" s="36" t="str">
        <x:v>Person</x:v>
      </x:c>
      <x:c r="F1081" s="37" t="str">
        <x:v>Not established here</x:v>
      </x:c>
      <x:c r="G1081" s="33" t="str">
        <x:v>Not included in this affirmative shortlist. This is not a finding of non-genius.</x:v>
      </x:c>
      <x:c r="H1081" s="29" t="str">
        <x:v>Peace roster</x:v>
      </x:c>
    </x:row>
    <x:row r="1082" ht="36" customHeight="1">
      <x:c r="A1082" s="29" t="str">
        <x:v>Peace</x:v>
      </x:c>
      <x:c r="B1082" s="33" t="str">
        <x:v>Aristide Briand</x:v>
      </x:c>
      <x:c r="C1082" s="35" t="n">
        <x:v>1926</x:v>
      </x:c>
      <x:c r="D1082" s="36" t="str">
        <x:v>1926</x:v>
      </x:c>
      <x:c r="E1082" s="36" t="str">
        <x:v>Person</x:v>
      </x:c>
      <x:c r="F1082" s="37" t="str">
        <x:v>Not established here</x:v>
      </x:c>
      <x:c r="G1082" s="33" t="str">
        <x:v>Not included in this affirmative shortlist. This is not a finding of non-genius.</x:v>
      </x:c>
      <x:c r="H1082" s="29" t="str">
        <x:v>Peace roster</x:v>
      </x:c>
    </x:row>
    <x:row r="1083" ht="36" customHeight="1">
      <x:c r="A1083" s="29" t="str">
        <x:v>Peace</x:v>
      </x:c>
      <x:c r="B1083" s="33" t="str">
        <x:v>Gustav Stresemann</x:v>
      </x:c>
      <x:c r="C1083" s="35" t="n">
        <x:v>1926</x:v>
      </x:c>
      <x:c r="D1083" s="36" t="str">
        <x:v>1926</x:v>
      </x:c>
      <x:c r="E1083" s="36" t="str">
        <x:v>Person</x:v>
      </x:c>
      <x:c r="F1083" s="37" t="str">
        <x:v>Not established here</x:v>
      </x:c>
      <x:c r="G1083" s="33" t="str">
        <x:v>Not included in this affirmative shortlist. This is not a finding of non-genius.</x:v>
      </x:c>
      <x:c r="H1083" s="29" t="str">
        <x:v>Peace roster</x:v>
      </x:c>
    </x:row>
    <x:row r="1084" ht="36" customHeight="1">
      <x:c r="A1084" s="29" t="str">
        <x:v>Peace</x:v>
      </x:c>
      <x:c r="B1084" s="33" t="str">
        <x:v>Ferdinand Buisson</x:v>
      </x:c>
      <x:c r="C1084" s="35" t="n">
        <x:v>1927</x:v>
      </x:c>
      <x:c r="D1084" s="36" t="str">
        <x:v>1927</x:v>
      </x:c>
      <x:c r="E1084" s="36" t="str">
        <x:v>Person</x:v>
      </x:c>
      <x:c r="F1084" s="37" t="str">
        <x:v>Not established here</x:v>
      </x:c>
      <x:c r="G1084" s="33" t="str">
        <x:v>Not included in this affirmative shortlist. This is not a finding of non-genius.</x:v>
      </x:c>
      <x:c r="H1084" s="29" t="str">
        <x:v>Peace roster</x:v>
      </x:c>
    </x:row>
    <x:row r="1085" ht="36" customHeight="1">
      <x:c r="A1085" s="29" t="str">
        <x:v>Peace</x:v>
      </x:c>
      <x:c r="B1085" s="33" t="str">
        <x:v>Ludwig Quidde</x:v>
      </x:c>
      <x:c r="C1085" s="35" t="n">
        <x:v>1927</x:v>
      </x:c>
      <x:c r="D1085" s="36" t="str">
        <x:v>1927</x:v>
      </x:c>
      <x:c r="E1085" s="36" t="str">
        <x:v>Person</x:v>
      </x:c>
      <x:c r="F1085" s="37" t="str">
        <x:v>Not established here</x:v>
      </x:c>
      <x:c r="G1085" s="33" t="str">
        <x:v>Not included in this affirmative shortlist. This is not a finding of non-genius.</x:v>
      </x:c>
      <x:c r="H1085" s="29" t="str">
        <x:v>Peace roster</x:v>
      </x:c>
    </x:row>
    <x:row r="1086" ht="36" customHeight="1">
      <x:c r="A1086" s="29" t="str">
        <x:v>Peace</x:v>
      </x:c>
      <x:c r="B1086" s="33" t="str">
        <x:v>Frank B. Kellogg</x:v>
      </x:c>
      <x:c r="C1086" s="35" t="n">
        <x:v>1929</x:v>
      </x:c>
      <x:c r="D1086" s="36" t="str">
        <x:v>1929</x:v>
      </x:c>
      <x:c r="E1086" s="36" t="str">
        <x:v>Person</x:v>
      </x:c>
      <x:c r="F1086" s="37" t="str">
        <x:v>Not established here</x:v>
      </x:c>
      <x:c r="G1086" s="33" t="str">
        <x:v>Not included in this affirmative shortlist. This is not a finding of non-genius.</x:v>
      </x:c>
      <x:c r="H1086" s="29" t="str">
        <x:v>Peace roster</x:v>
      </x:c>
    </x:row>
    <x:row r="1087" ht="36" customHeight="1">
      <x:c r="A1087" s="29" t="str">
        <x:v>Peace</x:v>
      </x:c>
      <x:c r="B1087" s="33" t="str">
        <x:v>Nathan Söderblom</x:v>
      </x:c>
      <x:c r="C1087" s="35" t="n">
        <x:v>1930</x:v>
      </x:c>
      <x:c r="D1087" s="36" t="str">
        <x:v>1930</x:v>
      </x:c>
      <x:c r="E1087" s="36" t="str">
        <x:v>Person</x:v>
      </x:c>
      <x:c r="F1087" s="37" t="str">
        <x:v>Not established here</x:v>
      </x:c>
      <x:c r="G1087" s="33" t="str">
        <x:v>Not included in this affirmative shortlist. This is not a finding of non-genius.</x:v>
      </x:c>
      <x:c r="H1087" s="29" t="str">
        <x:v>Peace roster</x:v>
      </x:c>
    </x:row>
    <x:row r="1088" ht="36" customHeight="1">
      <x:c r="A1088" s="29" t="str">
        <x:v>Peace</x:v>
      </x:c>
      <x:c r="B1088" s="33" t="str">
        <x:v>Jane Addams</x:v>
      </x:c>
      <x:c r="C1088" s="35" t="n">
        <x:v>1931</x:v>
      </x:c>
      <x:c r="D1088" s="36" t="str">
        <x:v>1931</x:v>
      </x:c>
      <x:c r="E1088" s="36" t="str">
        <x:v>Person</x:v>
      </x:c>
      <x:c r="F1088" s="37" t="str">
        <x:v>Not established here</x:v>
      </x:c>
      <x:c r="G1088" s="33" t="str">
        <x:v>Not included in this affirmative shortlist. This is not a finding of non-genius.</x:v>
      </x:c>
      <x:c r="H1088" s="29" t="str">
        <x:v>Peace roster</x:v>
      </x:c>
    </x:row>
    <x:row r="1089" ht="36" customHeight="1">
      <x:c r="A1089" s="29" t="str">
        <x:v>Peace</x:v>
      </x:c>
      <x:c r="B1089" s="33" t="str">
        <x:v>Nicholas Murray Butler</x:v>
      </x:c>
      <x:c r="C1089" s="35" t="n">
        <x:v>1931</x:v>
      </x:c>
      <x:c r="D1089" s="36" t="str">
        <x:v>1931</x:v>
      </x:c>
      <x:c r="E1089" s="36" t="str">
        <x:v>Person</x:v>
      </x:c>
      <x:c r="F1089" s="37" t="str">
        <x:v>Not established here</x:v>
      </x:c>
      <x:c r="G1089" s="33" t="str">
        <x:v>Not included in this affirmative shortlist. This is not a finding of non-genius.</x:v>
      </x:c>
      <x:c r="H1089" s="29" t="str">
        <x:v>Peace roster</x:v>
      </x:c>
    </x:row>
    <x:row r="1090" ht="36" customHeight="1">
      <x:c r="A1090" s="29" t="str">
        <x:v>Peace</x:v>
      </x:c>
      <x:c r="B1090" s="33" t="str">
        <x:v>Norman Angell</x:v>
      </x:c>
      <x:c r="C1090" s="35" t="n">
        <x:v>1933</x:v>
      </x:c>
      <x:c r="D1090" s="36" t="str">
        <x:v>1933</x:v>
      </x:c>
      <x:c r="E1090" s="36" t="str">
        <x:v>Person</x:v>
      </x:c>
      <x:c r="F1090" s="37" t="str">
        <x:v>Not established here</x:v>
      </x:c>
      <x:c r="G1090" s="33" t="str">
        <x:v>Not included in this affirmative shortlist. This is not a finding of non-genius.</x:v>
      </x:c>
      <x:c r="H1090" s="29" t="str">
        <x:v>Peace roster</x:v>
      </x:c>
    </x:row>
    <x:row r="1091" ht="36" customHeight="1">
      <x:c r="A1091" s="29" t="str">
        <x:v>Peace</x:v>
      </x:c>
      <x:c r="B1091" s="33" t="str">
        <x:v>Arthur Henderson</x:v>
      </x:c>
      <x:c r="C1091" s="35" t="n">
        <x:v>1934</x:v>
      </x:c>
      <x:c r="D1091" s="36" t="str">
        <x:v>1934</x:v>
      </x:c>
      <x:c r="E1091" s="36" t="str">
        <x:v>Person</x:v>
      </x:c>
      <x:c r="F1091" s="37" t="str">
        <x:v>Not established here</x:v>
      </x:c>
      <x:c r="G1091" s="33" t="str">
        <x:v>Not included in this affirmative shortlist. This is not a finding of non-genius.</x:v>
      </x:c>
      <x:c r="H1091" s="29" t="str">
        <x:v>Peace roster</x:v>
      </x:c>
    </x:row>
    <x:row r="1092" ht="36" customHeight="1">
      <x:c r="A1092" s="29" t="str">
        <x:v>Peace</x:v>
      </x:c>
      <x:c r="B1092" s="33" t="str">
        <x:v>Carl von Ossietzky</x:v>
      </x:c>
      <x:c r="C1092" s="35" t="n">
        <x:v>1935</x:v>
      </x:c>
      <x:c r="D1092" s="36" t="str">
        <x:v>1935</x:v>
      </x:c>
      <x:c r="E1092" s="36" t="str">
        <x:v>Person</x:v>
      </x:c>
      <x:c r="F1092" s="37" t="str">
        <x:v>Not established here</x:v>
      </x:c>
      <x:c r="G1092" s="33" t="str">
        <x:v>Not included in this affirmative shortlist. This is not a finding of non-genius.</x:v>
      </x:c>
      <x:c r="H1092" s="29" t="str">
        <x:v>Peace roster</x:v>
      </x:c>
    </x:row>
    <x:row r="1093" ht="36" customHeight="1">
      <x:c r="A1093" s="29" t="str">
        <x:v>Peace</x:v>
      </x:c>
      <x:c r="B1093" s="33" t="str">
        <x:v>Carlos Saavedra Lamas</x:v>
      </x:c>
      <x:c r="C1093" s="35" t="n">
        <x:v>1936</x:v>
      </x:c>
      <x:c r="D1093" s="36" t="str">
        <x:v>1936</x:v>
      </x:c>
      <x:c r="E1093" s="36" t="str">
        <x:v>Person</x:v>
      </x:c>
      <x:c r="F1093" s="37" t="str">
        <x:v>Not established here</x:v>
      </x:c>
      <x:c r="G1093" s="33" t="str">
        <x:v>Not included in this affirmative shortlist. This is not a finding of non-genius.</x:v>
      </x:c>
      <x:c r="H1093" s="29" t="str">
        <x:v>Peace roster</x:v>
      </x:c>
    </x:row>
    <x:row r="1094" ht="36" customHeight="1">
      <x:c r="A1094" s="29" t="str">
        <x:v>Peace</x:v>
      </x:c>
      <x:c r="B1094" s="33" t="str">
        <x:v>The Viscount Cecil of Chelwood</x:v>
      </x:c>
      <x:c r="C1094" s="35" t="n">
        <x:v>1937</x:v>
      </x:c>
      <x:c r="D1094" s="36" t="str">
        <x:v>1937</x:v>
      </x:c>
      <x:c r="E1094" s="36" t="str">
        <x:v>Person</x:v>
      </x:c>
      <x:c r="F1094" s="37" t="str">
        <x:v>Not established here</x:v>
      </x:c>
      <x:c r="G1094" s="33" t="str">
        <x:v>Not included in this affirmative shortlist. This is not a finding of non-genius.</x:v>
      </x:c>
      <x:c r="H1094" s="29" t="str">
        <x:v>Peace roster</x:v>
      </x:c>
    </x:row>
    <x:row r="1095" ht="36" customHeight="1">
      <x:c r="A1095" s="29" t="str">
        <x:v>Peace</x:v>
      </x:c>
      <x:c r="B1095" s="33" t="str">
        <x:v>Nansen International Office for Refugees</x:v>
      </x:c>
      <x:c r="C1095" s="35" t="n">
        <x:v>1938</x:v>
      </x:c>
      <x:c r="D1095" s="36" t="str">
        <x:v>1938</x:v>
      </x:c>
      <x:c r="E1095" s="36" t="str">
        <x:v>Organization</x:v>
      </x:c>
      <x:c r="F1095" s="37" t="str">
        <x:v>Not applicable</x:v>
      </x:c>
      <x:c r="G1095" s="33" t="str">
        <x:v>Organization: excluded from the person denominator.</x:v>
      </x:c>
      <x:c r="H1095" s="29" t="str">
        <x:v>Peace roster</x:v>
      </x:c>
    </x:row>
    <x:row r="1096" ht="36" customHeight="1">
      <x:c r="A1096" s="29" t="str">
        <x:v>Peace</x:v>
      </x:c>
      <x:c r="B1096" s="33" t="str">
        <x:v>Cordell Hull</x:v>
      </x:c>
      <x:c r="C1096" s="35" t="n">
        <x:v>1945</x:v>
      </x:c>
      <x:c r="D1096" s="36" t="str">
        <x:v>1945</x:v>
      </x:c>
      <x:c r="E1096" s="36" t="str">
        <x:v>Person</x:v>
      </x:c>
      <x:c r="F1096" s="37" t="str">
        <x:v>Not established here</x:v>
      </x:c>
      <x:c r="G1096" s="33" t="str">
        <x:v>Not included in this affirmative shortlist. This is not a finding of non-genius.</x:v>
      </x:c>
      <x:c r="H1096" s="29" t="str">
        <x:v>Peace roster</x:v>
      </x:c>
    </x:row>
    <x:row r="1097" ht="36" customHeight="1">
      <x:c r="A1097" s="29" t="str">
        <x:v>Peace</x:v>
      </x:c>
      <x:c r="B1097" s="33" t="str">
        <x:v>Emily Greene Balch</x:v>
      </x:c>
      <x:c r="C1097" s="35" t="n">
        <x:v>1946</x:v>
      </x:c>
      <x:c r="D1097" s="36" t="str">
        <x:v>1946</x:v>
      </x:c>
      <x:c r="E1097" s="36" t="str">
        <x:v>Person</x:v>
      </x:c>
      <x:c r="F1097" s="37" t="str">
        <x:v>Not established here</x:v>
      </x:c>
      <x:c r="G1097" s="33" t="str">
        <x:v>Not included in this affirmative shortlist. This is not a finding of non-genius.</x:v>
      </x:c>
      <x:c r="H1097" s="29" t="str">
        <x:v>Peace roster</x:v>
      </x:c>
    </x:row>
    <x:row r="1098" ht="36" customHeight="1">
      <x:c r="A1098" s="29" t="str">
        <x:v>Peace</x:v>
      </x:c>
      <x:c r="B1098" s="33" t="str">
        <x:v>John Mott</x:v>
      </x:c>
      <x:c r="C1098" s="35" t="n">
        <x:v>1946</x:v>
      </x:c>
      <x:c r="D1098" s="36" t="str">
        <x:v>1946</x:v>
      </x:c>
      <x:c r="E1098" s="36" t="str">
        <x:v>Person</x:v>
      </x:c>
      <x:c r="F1098" s="37" t="str">
        <x:v>Not established here</x:v>
      </x:c>
      <x:c r="G1098" s="33" t="str">
        <x:v>Not included in this affirmative shortlist. This is not a finding of non-genius.</x:v>
      </x:c>
      <x:c r="H1098" s="29" t="str">
        <x:v>Peace roster</x:v>
      </x:c>
    </x:row>
    <x:row r="1099" ht="36" customHeight="1">
      <x:c r="A1099" s="29" t="str">
        <x:v>Peace</x:v>
      </x:c>
      <x:c r="B1099" s="33" t="str">
        <x:v>American Friends Service Committee</x:v>
      </x:c>
      <x:c r="C1099" s="35" t="n">
        <x:v>1947</x:v>
      </x:c>
      <x:c r="D1099" s="36" t="str">
        <x:v>1947</x:v>
      </x:c>
      <x:c r="E1099" s="36" t="str">
        <x:v>Organization</x:v>
      </x:c>
      <x:c r="F1099" s="37" t="str">
        <x:v>Not applicable</x:v>
      </x:c>
      <x:c r="G1099" s="33" t="str">
        <x:v>Organization: excluded from the person denominator.</x:v>
      </x:c>
      <x:c r="H1099" s="29" t="str">
        <x:v>Peace roster</x:v>
      </x:c>
    </x:row>
    <x:row r="1100" ht="36" customHeight="1">
      <x:c r="A1100" s="29" t="str">
        <x:v>Peace</x:v>
      </x:c>
      <x:c r="B1100" s="33" t="str">
        <x:v>Friends Service Council</x:v>
      </x:c>
      <x:c r="C1100" s="35" t="n">
        <x:v>1947</x:v>
      </x:c>
      <x:c r="D1100" s="36" t="str">
        <x:v>1947</x:v>
      </x:c>
      <x:c r="E1100" s="36" t="str">
        <x:v>Organization</x:v>
      </x:c>
      <x:c r="F1100" s="37" t="str">
        <x:v>Not applicable</x:v>
      </x:c>
      <x:c r="G1100" s="33" t="str">
        <x:v>Organization: excluded from the person denominator.</x:v>
      </x:c>
      <x:c r="H1100" s="29" t="str">
        <x:v>Peace roster</x:v>
      </x:c>
    </x:row>
    <x:row r="1101" ht="36" customHeight="1">
      <x:c r="A1101" s="29" t="str">
        <x:v>Peace</x:v>
      </x:c>
      <x:c r="B1101" s="33" t="str">
        <x:v>The Lord Boyd-Orr</x:v>
      </x:c>
      <x:c r="C1101" s="35" t="n">
        <x:v>1949</x:v>
      </x:c>
      <x:c r="D1101" s="36" t="str">
        <x:v>1949</x:v>
      </x:c>
      <x:c r="E1101" s="36" t="str">
        <x:v>Person</x:v>
      </x:c>
      <x:c r="F1101" s="37" t="str">
        <x:v>Not established here</x:v>
      </x:c>
      <x:c r="G1101" s="33" t="str">
        <x:v>Not included in this affirmative shortlist. This is not a finding of non-genius.</x:v>
      </x:c>
      <x:c r="H1101" s="29" t="str">
        <x:v>Peace roster</x:v>
      </x:c>
    </x:row>
    <x:row r="1102" ht="36" customHeight="1">
      <x:c r="A1102" s="29" t="str">
        <x:v>Peace</x:v>
      </x:c>
      <x:c r="B1102" s="33" t="str">
        <x:v>Ralph Bunche</x:v>
      </x:c>
      <x:c r="C1102" s="35" t="n">
        <x:v>1950</x:v>
      </x:c>
      <x:c r="D1102" s="36" t="str">
        <x:v>1950</x:v>
      </x:c>
      <x:c r="E1102" s="36" t="str">
        <x:v>Person</x:v>
      </x:c>
      <x:c r="F1102" s="37" t="str">
        <x:v>Not established here</x:v>
      </x:c>
      <x:c r="G1102" s="33" t="str">
        <x:v>Not included in this affirmative shortlist. This is not a finding of non-genius.</x:v>
      </x:c>
      <x:c r="H1102" s="29" t="str">
        <x:v>Peace roster</x:v>
      </x:c>
    </x:row>
    <x:row r="1103" ht="36" customHeight="1">
      <x:c r="A1103" s="29" t="str">
        <x:v>Peace</x:v>
      </x:c>
      <x:c r="B1103" s="33" t="str">
        <x:v>Léon Jouhaux</x:v>
      </x:c>
      <x:c r="C1103" s="35" t="n">
        <x:v>1951</x:v>
      </x:c>
      <x:c r="D1103" s="36" t="str">
        <x:v>1951</x:v>
      </x:c>
      <x:c r="E1103" s="36" t="str">
        <x:v>Person</x:v>
      </x:c>
      <x:c r="F1103" s="37" t="str">
        <x:v>Not established here</x:v>
      </x:c>
      <x:c r="G1103" s="33" t="str">
        <x:v>Not included in this affirmative shortlist. This is not a finding of non-genius.</x:v>
      </x:c>
      <x:c r="H1103" s="29" t="str">
        <x:v>Peace roster</x:v>
      </x:c>
    </x:row>
    <x:row r="1104" ht="36" customHeight="1">
      <x:c r="A1104" s="29" t="str">
        <x:v>Peace</x:v>
      </x:c>
      <x:c r="B1104" s="33" t="str">
        <x:v>Albert Schweitzer</x:v>
      </x:c>
      <x:c r="C1104" s="35" t="n">
        <x:v>1952</x:v>
      </x:c>
      <x:c r="D1104" s="36" t="str">
        <x:v>1952</x:v>
      </x:c>
      <x:c r="E1104" s="36" t="str">
        <x:v>Person</x:v>
      </x:c>
      <x:c r="F1104" s="37" t="str">
        <x:v>Borderline</x:v>
      </x:c>
      <x:c r="G1104" s="33" t="str">
        <x:v>Strong case for exceptional originality, but I am less certain of equivalence to the user's very high benchmark.</x:v>
      </x:c>
      <x:c r="H1104" s="29" t="str">
        <x:v>Peace roster</x:v>
      </x:c>
    </x:row>
    <x:row r="1105" ht="36" customHeight="1">
      <x:c r="A1105" s="29" t="str">
        <x:v>Peace</x:v>
      </x:c>
      <x:c r="B1105" s="33" t="str">
        <x:v>George Marshall</x:v>
      </x:c>
      <x:c r="C1105" s="35" t="n">
        <x:v>1953</x:v>
      </x:c>
      <x:c r="D1105" s="36" t="str">
        <x:v>1953</x:v>
      </x:c>
      <x:c r="E1105" s="36" t="str">
        <x:v>Person</x:v>
      </x:c>
      <x:c r="F1105" s="37" t="str">
        <x:v>Not established here</x:v>
      </x:c>
      <x:c r="G1105" s="33" t="str">
        <x:v>Not included in this affirmative shortlist. This is not a finding of non-genius.</x:v>
      </x:c>
      <x:c r="H1105" s="29" t="str">
        <x:v>Peace roster</x:v>
      </x:c>
    </x:row>
    <x:row r="1106" ht="36" customHeight="1">
      <x:c r="A1106" s="29" t="str">
        <x:v>Peace</x:v>
      </x:c>
      <x:c r="B1106" s="33" t="str">
        <x:v>Office of the United Nations High Commissioner for Refugees</x:v>
      </x:c>
      <x:c r="C1106" s="35" t="n">
        <x:v>1954</x:v>
      </x:c>
      <x:c r="D1106" s="36" t="str">
        <x:v>1954, 1981</x:v>
      </x:c>
      <x:c r="E1106" s="36" t="str">
        <x:v>Organization</x:v>
      </x:c>
      <x:c r="F1106" s="37" t="str">
        <x:v>Not applicable</x:v>
      </x:c>
      <x:c r="G1106" s="33" t="str">
        <x:v>Organization: excluded from the person denominator.</x:v>
      </x:c>
      <x:c r="H1106" s="29" t="str">
        <x:v>Peace roster</x:v>
      </x:c>
    </x:row>
    <x:row r="1107" ht="36" customHeight="1">
      <x:c r="A1107" s="29" t="str">
        <x:v>Peace</x:v>
      </x:c>
      <x:c r="B1107" s="33" t="str">
        <x:v>Lester B. Pearson</x:v>
      </x:c>
      <x:c r="C1107" s="35" t="n">
        <x:v>1957</x:v>
      </x:c>
      <x:c r="D1107" s="36" t="str">
        <x:v>1957</x:v>
      </x:c>
      <x:c r="E1107" s="36" t="str">
        <x:v>Person</x:v>
      </x:c>
      <x:c r="F1107" s="37" t="str">
        <x:v>Not established here</x:v>
      </x:c>
      <x:c r="G1107" s="33" t="str">
        <x:v>Not included in this affirmative shortlist. This is not a finding of non-genius.</x:v>
      </x:c>
      <x:c r="H1107" s="29" t="str">
        <x:v>Peace roster</x:v>
      </x:c>
    </x:row>
    <x:row r="1108" ht="36" customHeight="1">
      <x:c r="A1108" s="29" t="str">
        <x:v>Peace</x:v>
      </x:c>
      <x:c r="B1108" s="33" t="str">
        <x:v>Dominique Pire</x:v>
      </x:c>
      <x:c r="C1108" s="35" t="n">
        <x:v>1958</x:v>
      </x:c>
      <x:c r="D1108" s="36" t="str">
        <x:v>1958</x:v>
      </x:c>
      <x:c r="E1108" s="36" t="str">
        <x:v>Person</x:v>
      </x:c>
      <x:c r="F1108" s="37" t="str">
        <x:v>Not established here</x:v>
      </x:c>
      <x:c r="G1108" s="33" t="str">
        <x:v>Not included in this affirmative shortlist. This is not a finding of non-genius.</x:v>
      </x:c>
      <x:c r="H1108" s="29" t="str">
        <x:v>Peace roster</x:v>
      </x:c>
    </x:row>
    <x:row r="1109" ht="36" customHeight="1">
      <x:c r="A1109" s="29" t="str">
        <x:v>Peace</x:v>
      </x:c>
      <x:c r="B1109" s="33" t="str">
        <x:v>Philip Noel-Baker</x:v>
      </x:c>
      <x:c r="C1109" s="35" t="n">
        <x:v>1959</x:v>
      </x:c>
      <x:c r="D1109" s="36" t="str">
        <x:v>1959</x:v>
      </x:c>
      <x:c r="E1109" s="36" t="str">
        <x:v>Person</x:v>
      </x:c>
      <x:c r="F1109" s="37" t="str">
        <x:v>Not established here</x:v>
      </x:c>
      <x:c r="G1109" s="33" t="str">
        <x:v>Not included in this affirmative shortlist. This is not a finding of non-genius.</x:v>
      </x:c>
      <x:c r="H1109" s="29" t="str">
        <x:v>Peace roster</x:v>
      </x:c>
    </x:row>
    <x:row r="1110" ht="36" customHeight="1">
      <x:c r="A1110" s="29" t="str">
        <x:v>Peace</x:v>
      </x:c>
      <x:c r="B1110" s="33" t="str">
        <x:v>Albert Luthuli</x:v>
      </x:c>
      <x:c r="C1110" s="35" t="n">
        <x:v>1960</x:v>
      </x:c>
      <x:c r="D1110" s="36" t="str">
        <x:v>1960</x:v>
      </x:c>
      <x:c r="E1110" s="36" t="str">
        <x:v>Person</x:v>
      </x:c>
      <x:c r="F1110" s="37" t="str">
        <x:v>Not established here</x:v>
      </x:c>
      <x:c r="G1110" s="33" t="str">
        <x:v>Not included in this affirmative shortlist. This is not a finding of non-genius.</x:v>
      </x:c>
      <x:c r="H1110" s="29" t="str">
        <x:v>Peace roster</x:v>
      </x:c>
    </x:row>
    <x:row r="1111" ht="36" customHeight="1">
      <x:c r="A1111" s="29" t="str">
        <x:v>Peace</x:v>
      </x:c>
      <x:c r="B1111" s="33" t="str">
        <x:v>Dag Hammarskjöld</x:v>
      </x:c>
      <x:c r="C1111" s="35" t="n">
        <x:v>1961</x:v>
      </x:c>
      <x:c r="D1111" s="36" t="str">
        <x:v>1961</x:v>
      </x:c>
      <x:c r="E1111" s="36" t="str">
        <x:v>Person</x:v>
      </x:c>
      <x:c r="F1111" s="37" t="str">
        <x:v>Not established here</x:v>
      </x:c>
      <x:c r="G1111" s="33" t="str">
        <x:v>Not included in this affirmative shortlist. This is not a finding of non-genius.</x:v>
      </x:c>
      <x:c r="H1111" s="29" t="str">
        <x:v>Peace roster</x:v>
      </x:c>
    </x:row>
    <x:row r="1112" ht="36" customHeight="1">
      <x:c r="A1112" s="29" t="str">
        <x:v>Peace</x:v>
      </x:c>
      <x:c r="B1112" s="33" t="str">
        <x:v>Linus Pauling</x:v>
      </x:c>
      <x:c r="C1112" s="35" t="n">
        <x:v>1962</x:v>
      </x:c>
      <x:c r="D1112" s="36" t="str">
        <x:v>1962</x:v>
      </x:c>
      <x:c r="E1112" s="36" t="str">
        <x:v>Person</x:v>
      </x:c>
      <x:c r="F1112" s="37" t="str">
        <x:v>Clear</x:v>
      </x:c>
      <x:c r="G1112" s="33" t="str">
        <x:v>Qualifies through chemical and molecular science, independently of peace work.</x:v>
      </x:c>
      <x:c r="H1112" s="29" t="str">
        <x:v>Peace roster</x:v>
      </x:c>
    </x:row>
    <x:row r="1113" ht="36" customHeight="1">
      <x:c r="A1113" s="29" t="str">
        <x:v>Peace</x:v>
      </x:c>
      <x:c r="B1113" s="33" t="str">
        <x:v>League of Red Cross Societies</x:v>
      </x:c>
      <x:c r="C1113" s="35" t="n">
        <x:v>1963</x:v>
      </x:c>
      <x:c r="D1113" s="36" t="str">
        <x:v>1963</x:v>
      </x:c>
      <x:c r="E1113" s="36" t="str">
        <x:v>Organization</x:v>
      </x:c>
      <x:c r="F1113" s="37" t="str">
        <x:v>Not applicable</x:v>
      </x:c>
      <x:c r="G1113" s="33" t="str">
        <x:v>Organization: excluded from the person denominator.</x:v>
      </x:c>
      <x:c r="H1113" s="29" t="str">
        <x:v>Peace roster</x:v>
      </x:c>
    </x:row>
    <x:row r="1114" ht="36" customHeight="1">
      <x:c r="A1114" s="29" t="str">
        <x:v>Peace</x:v>
      </x:c>
      <x:c r="B1114" s="33" t="str">
        <x:v>Martin Luther King Jr.</x:v>
      </x:c>
      <x:c r="C1114" s="35" t="n">
        <x:v>1964</x:v>
      </x:c>
      <x:c r="D1114" s="36" t="str">
        <x:v>1964</x:v>
      </x:c>
      <x:c r="E1114" s="36" t="str">
        <x:v>Person</x:v>
      </x:c>
      <x:c r="F1114" s="37" t="str">
        <x:v>Borderline</x:v>
      </x:c>
      <x:c r="G1114" s="33" t="str">
        <x:v>Strong case for exceptional originality, but I am less certain of equivalence to the user's very high benchmark.</x:v>
      </x:c>
      <x:c r="H1114" s="29" t="str">
        <x:v>Peace roster</x:v>
      </x:c>
    </x:row>
    <x:row r="1115" ht="36" customHeight="1">
      <x:c r="A1115" s="29" t="str">
        <x:v>Peace</x:v>
      </x:c>
      <x:c r="B1115" s="33" t="str">
        <x:v>United Nations Children's Fund (UNICEF)</x:v>
      </x:c>
      <x:c r="C1115" s="35" t="n">
        <x:v>1965</x:v>
      </x:c>
      <x:c r="D1115" s="36" t="str">
        <x:v>1965</x:v>
      </x:c>
      <x:c r="E1115" s="36" t="str">
        <x:v>Organization</x:v>
      </x:c>
      <x:c r="F1115" s="37" t="str">
        <x:v>Not applicable</x:v>
      </x:c>
      <x:c r="G1115" s="33" t="str">
        <x:v>Organization: excluded from the person denominator.</x:v>
      </x:c>
      <x:c r="H1115" s="29" t="str">
        <x:v>Peace roster</x:v>
      </x:c>
    </x:row>
    <x:row r="1116" ht="36" customHeight="1">
      <x:c r="A1116" s="29" t="str">
        <x:v>Peace</x:v>
      </x:c>
      <x:c r="B1116" s="33" t="str">
        <x:v>René Cassin</x:v>
      </x:c>
      <x:c r="C1116" s="35" t="n">
        <x:v>1968</x:v>
      </x:c>
      <x:c r="D1116" s="36" t="str">
        <x:v>1968</x:v>
      </x:c>
      <x:c r="E1116" s="36" t="str">
        <x:v>Person</x:v>
      </x:c>
      <x:c r="F1116" s="37" t="str">
        <x:v>Not established here</x:v>
      </x:c>
      <x:c r="G1116" s="33" t="str">
        <x:v>Not included in this affirmative shortlist. This is not a finding of non-genius.</x:v>
      </x:c>
      <x:c r="H1116" s="29" t="str">
        <x:v>Peace roster</x:v>
      </x:c>
    </x:row>
    <x:row r="1117" ht="36" customHeight="1">
      <x:c r="A1117" s="29" t="str">
        <x:v>Peace</x:v>
      </x:c>
      <x:c r="B1117" s="33" t="str">
        <x:v>International Labour Organization</x:v>
      </x:c>
      <x:c r="C1117" s="35" t="n">
        <x:v>1969</x:v>
      </x:c>
      <x:c r="D1117" s="36" t="str">
        <x:v>1969</x:v>
      </x:c>
      <x:c r="E1117" s="36" t="str">
        <x:v>Organization</x:v>
      </x:c>
      <x:c r="F1117" s="37" t="str">
        <x:v>Not applicable</x:v>
      </x:c>
      <x:c r="G1117" s="33" t="str">
        <x:v>Organization: excluded from the person denominator.</x:v>
      </x:c>
      <x:c r="H1117" s="29" t="str">
        <x:v>Peace roster</x:v>
      </x:c>
    </x:row>
    <x:row r="1118" ht="36" customHeight="1">
      <x:c r="A1118" s="29" t="str">
        <x:v>Peace</x:v>
      </x:c>
      <x:c r="B1118" s="33" t="str">
        <x:v>Norman Borlaug</x:v>
      </x:c>
      <x:c r="C1118" s="35" t="n">
        <x:v>1970</x:v>
      </x:c>
      <x:c r="D1118" s="36" t="str">
        <x:v>1970</x:v>
      </x:c>
      <x:c r="E1118" s="36" t="str">
        <x:v>Person</x:v>
      </x:c>
      <x:c r="F1118" s="37" t="str">
        <x:v>Borderline</x:v>
      </x:c>
      <x:c r="G1118" s="33" t="str">
        <x:v>Strong case for exceptional originality, but I am less certain of equivalence to the user's very high benchmark.</x:v>
      </x:c>
      <x:c r="H1118" s="29" t="str">
        <x:v>Peace roster</x:v>
      </x:c>
    </x:row>
    <x:row r="1119" ht="36" customHeight="1">
      <x:c r="A1119" s="29" t="str">
        <x:v>Peace</x:v>
      </x:c>
      <x:c r="B1119" s="33" t="str">
        <x:v>Willy Brandt</x:v>
      </x:c>
      <x:c r="C1119" s="35" t="n">
        <x:v>1971</x:v>
      </x:c>
      <x:c r="D1119" s="36" t="str">
        <x:v>1971</x:v>
      </x:c>
      <x:c r="E1119" s="36" t="str">
        <x:v>Person</x:v>
      </x:c>
      <x:c r="F1119" s="37" t="str">
        <x:v>Not established here</x:v>
      </x:c>
      <x:c r="G1119" s="33" t="str">
        <x:v>Not included in this affirmative shortlist. This is not a finding of non-genius.</x:v>
      </x:c>
      <x:c r="H1119" s="29" t="str">
        <x:v>Peace roster</x:v>
      </x:c>
    </x:row>
    <x:row r="1120" ht="36" customHeight="1">
      <x:c r="A1120" s="29" t="str">
        <x:v>Peace</x:v>
      </x:c>
      <x:c r="B1120" s="33" t="str">
        <x:v>Henry Kissinger</x:v>
      </x:c>
      <x:c r="C1120" s="35" t="n">
        <x:v>1973</x:v>
      </x:c>
      <x:c r="D1120" s="36" t="str">
        <x:v>1973</x:v>
      </x:c>
      <x:c r="E1120" s="36" t="str">
        <x:v>Person</x:v>
      </x:c>
      <x:c r="F1120" s="37" t="str">
        <x:v>Not established here</x:v>
      </x:c>
      <x:c r="G1120" s="33" t="str">
        <x:v>Not included in this affirmative shortlist. This is not a finding of non-genius.</x:v>
      </x:c>
      <x:c r="H1120" s="29" t="str">
        <x:v>Peace roster</x:v>
      </x:c>
    </x:row>
    <x:row r="1121" ht="36" customHeight="1">
      <x:c r="A1121" s="29" t="str">
        <x:v>Peace</x:v>
      </x:c>
      <x:c r="B1121" s="33" t="str">
        <x:v>Lê Đức Thọ</x:v>
      </x:c>
      <x:c r="C1121" s="35" t="n">
        <x:v>1973</x:v>
      </x:c>
      <x:c r="D1121" s="36" t="str">
        <x:v>1973</x:v>
      </x:c>
      <x:c r="E1121" s="36" t="str">
        <x:v>Person</x:v>
      </x:c>
      <x:c r="F1121" s="37" t="str">
        <x:v>Not established here</x:v>
      </x:c>
      <x:c r="G1121" s="33" t="str">
        <x:v>Not included in this affirmative shortlist. This is not a finding of non-genius.</x:v>
      </x:c>
      <x:c r="H1121" s="29" t="str">
        <x:v>Peace roster</x:v>
      </x:c>
    </x:row>
    <x:row r="1122" ht="36" customHeight="1">
      <x:c r="A1122" s="29" t="str">
        <x:v>Peace</x:v>
      </x:c>
      <x:c r="B1122" s="33" t="str">
        <x:v>Eisaku Satō</x:v>
      </x:c>
      <x:c r="C1122" s="35" t="n">
        <x:v>1974</x:v>
      </x:c>
      <x:c r="D1122" s="36" t="str">
        <x:v>1974</x:v>
      </x:c>
      <x:c r="E1122" s="36" t="str">
        <x:v>Person</x:v>
      </x:c>
      <x:c r="F1122" s="37" t="str">
        <x:v>Not established here</x:v>
      </x:c>
      <x:c r="G1122" s="33" t="str">
        <x:v>Not included in this affirmative shortlist. This is not a finding of non-genius.</x:v>
      </x:c>
      <x:c r="H1122" s="29" t="str">
        <x:v>Peace roster</x:v>
      </x:c>
    </x:row>
    <x:row r="1123" ht="36" customHeight="1">
      <x:c r="A1123" s="29" t="str">
        <x:v>Peace</x:v>
      </x:c>
      <x:c r="B1123" s="33" t="str">
        <x:v>Seán MacBride</x:v>
      </x:c>
      <x:c r="C1123" s="35" t="n">
        <x:v>1974</x:v>
      </x:c>
      <x:c r="D1123" s="36" t="str">
        <x:v>1974</x:v>
      </x:c>
      <x:c r="E1123" s="36" t="str">
        <x:v>Person</x:v>
      </x:c>
      <x:c r="F1123" s="37" t="str">
        <x:v>Not established here</x:v>
      </x:c>
      <x:c r="G1123" s="33" t="str">
        <x:v>Not included in this affirmative shortlist. This is not a finding of non-genius.</x:v>
      </x:c>
      <x:c r="H1123" s="29" t="str">
        <x:v>Peace roster</x:v>
      </x:c>
    </x:row>
    <x:row r="1124" ht="36" customHeight="1">
      <x:c r="A1124" s="29" t="str">
        <x:v>Peace</x:v>
      </x:c>
      <x:c r="B1124" s="33" t="str">
        <x:v>Andrei Sakharov</x:v>
      </x:c>
      <x:c r="C1124" s="35" t="n">
        <x:v>1975</x:v>
      </x:c>
      <x:c r="D1124" s="36" t="str">
        <x:v>1975</x:v>
      </x:c>
      <x:c r="E1124" s="36" t="str">
        <x:v>Person</x:v>
      </x:c>
      <x:c r="F1124" s="37" t="str">
        <x:v>Clear</x:v>
      </x:c>
      <x:c r="G1124" s="33" t="str">
        <x:v>Qualifies through fundamental theoretical physics, independently of peace work.</x:v>
      </x:c>
      <x:c r="H1124" s="29" t="str">
        <x:v>Peace roster</x:v>
      </x:c>
    </x:row>
    <x:row r="1125" ht="36" customHeight="1">
      <x:c r="A1125" s="29" t="str">
        <x:v>Peace</x:v>
      </x:c>
      <x:c r="B1125" s="33" t="str">
        <x:v>Betty Williams</x:v>
      </x:c>
      <x:c r="C1125" s="35" t="n">
        <x:v>1976</x:v>
      </x:c>
      <x:c r="D1125" s="36" t="str">
        <x:v>1976</x:v>
      </x:c>
      <x:c r="E1125" s="36" t="str">
        <x:v>Person</x:v>
      </x:c>
      <x:c r="F1125" s="37" t="str">
        <x:v>Not established here</x:v>
      </x:c>
      <x:c r="G1125" s="33" t="str">
        <x:v>Not included in this affirmative shortlist. This is not a finding of non-genius.</x:v>
      </x:c>
      <x:c r="H1125" s="29" t="str">
        <x:v>Peace roster</x:v>
      </x:c>
    </x:row>
    <x:row r="1126" ht="36" customHeight="1">
      <x:c r="A1126" s="29" t="str">
        <x:v>Peace</x:v>
      </x:c>
      <x:c r="B1126" s="33" t="str">
        <x:v>Mairead Maguire</x:v>
      </x:c>
      <x:c r="C1126" s="35" t="n">
        <x:v>1976</x:v>
      </x:c>
      <x:c r="D1126" s="36" t="str">
        <x:v>1976</x:v>
      </x:c>
      <x:c r="E1126" s="36" t="str">
        <x:v>Person</x:v>
      </x:c>
      <x:c r="F1126" s="37" t="str">
        <x:v>Not established here</x:v>
      </x:c>
      <x:c r="G1126" s="33" t="str">
        <x:v>Not included in this affirmative shortlist. This is not a finding of non-genius.</x:v>
      </x:c>
      <x:c r="H1126" s="29" t="str">
        <x:v>Peace roster</x:v>
      </x:c>
    </x:row>
    <x:row r="1127" ht="36" customHeight="1">
      <x:c r="A1127" s="29" t="str">
        <x:v>Peace</x:v>
      </x:c>
      <x:c r="B1127" s="33" t="str">
        <x:v>Amnesty International</x:v>
      </x:c>
      <x:c r="C1127" s="35" t="n">
        <x:v>1977</x:v>
      </x:c>
      <x:c r="D1127" s="36" t="str">
        <x:v>1977</x:v>
      </x:c>
      <x:c r="E1127" s="36" t="str">
        <x:v>Organization</x:v>
      </x:c>
      <x:c r="F1127" s="37" t="str">
        <x:v>Not applicable</x:v>
      </x:c>
      <x:c r="G1127" s="33" t="str">
        <x:v>Organization: excluded from the person denominator.</x:v>
      </x:c>
      <x:c r="H1127" s="29" t="str">
        <x:v>Peace roster</x:v>
      </x:c>
    </x:row>
    <x:row r="1128" ht="36" customHeight="1">
      <x:c r="A1128" s="29" t="str">
        <x:v>Peace</x:v>
      </x:c>
      <x:c r="B1128" s="33" t="str">
        <x:v>Anwar Sadat</x:v>
      </x:c>
      <x:c r="C1128" s="35" t="n">
        <x:v>1978</x:v>
      </x:c>
      <x:c r="D1128" s="36" t="str">
        <x:v>1978</x:v>
      </x:c>
      <x:c r="E1128" s="36" t="str">
        <x:v>Person</x:v>
      </x:c>
      <x:c r="F1128" s="37" t="str">
        <x:v>Not established here</x:v>
      </x:c>
      <x:c r="G1128" s="33" t="str">
        <x:v>Not included in this affirmative shortlist. This is not a finding of non-genius.</x:v>
      </x:c>
      <x:c r="H1128" s="29" t="str">
        <x:v>Peace roster</x:v>
      </x:c>
    </x:row>
    <x:row r="1129" ht="36" customHeight="1">
      <x:c r="A1129" s="29" t="str">
        <x:v>Peace</x:v>
      </x:c>
      <x:c r="B1129" s="33" t="str">
        <x:v>Menachem Begin</x:v>
      </x:c>
      <x:c r="C1129" s="35" t="n">
        <x:v>1978</x:v>
      </x:c>
      <x:c r="D1129" s="36" t="str">
        <x:v>1978</x:v>
      </x:c>
      <x:c r="E1129" s="36" t="str">
        <x:v>Person</x:v>
      </x:c>
      <x:c r="F1129" s="37" t="str">
        <x:v>Not established here</x:v>
      </x:c>
      <x:c r="G1129" s="33" t="str">
        <x:v>Not included in this affirmative shortlist. This is not a finding of non-genius.</x:v>
      </x:c>
      <x:c r="H1129" s="29" t="str">
        <x:v>Peace roster</x:v>
      </x:c>
    </x:row>
    <x:row r="1130" ht="36" customHeight="1">
      <x:c r="A1130" s="29" t="str">
        <x:v>Peace</x:v>
      </x:c>
      <x:c r="B1130" s="33" t="str">
        <x:v>Mother Teresa</x:v>
      </x:c>
      <x:c r="C1130" s="35" t="n">
        <x:v>1979</x:v>
      </x:c>
      <x:c r="D1130" s="36" t="str">
        <x:v>1979</x:v>
      </x:c>
      <x:c r="E1130" s="36" t="str">
        <x:v>Person</x:v>
      </x:c>
      <x:c r="F1130" s="37" t="str">
        <x:v>Not established here</x:v>
      </x:c>
      <x:c r="G1130" s="33" t="str">
        <x:v>Not included in this affirmative shortlist. This is not a finding of non-genius.</x:v>
      </x:c>
      <x:c r="H1130" s="29" t="str">
        <x:v>Peace roster</x:v>
      </x:c>
    </x:row>
    <x:row r="1131" ht="36" customHeight="1">
      <x:c r="A1131" s="29" t="str">
        <x:v>Peace</x:v>
      </x:c>
      <x:c r="B1131" s="33" t="str">
        <x:v>Adolfo Pérez Esquivel</x:v>
      </x:c>
      <x:c r="C1131" s="35" t="n">
        <x:v>1980</x:v>
      </x:c>
      <x:c r="D1131" s="36" t="str">
        <x:v>1980</x:v>
      </x:c>
      <x:c r="E1131" s="36" t="str">
        <x:v>Person</x:v>
      </x:c>
      <x:c r="F1131" s="37" t="str">
        <x:v>Not established here</x:v>
      </x:c>
      <x:c r="G1131" s="33" t="str">
        <x:v>Not included in this affirmative shortlist. This is not a finding of non-genius.</x:v>
      </x:c>
      <x:c r="H1131" s="29" t="str">
        <x:v>Peace roster</x:v>
      </x:c>
    </x:row>
    <x:row r="1132" ht="36" customHeight="1">
      <x:c r="A1132" s="29" t="str">
        <x:v>Peace</x:v>
      </x:c>
      <x:c r="B1132" s="33" t="str">
        <x:v>Alfonso García Robles</x:v>
      </x:c>
      <x:c r="C1132" s="35" t="n">
        <x:v>1982</x:v>
      </x:c>
      <x:c r="D1132" s="36" t="str">
        <x:v>1982</x:v>
      </x:c>
      <x:c r="E1132" s="36" t="str">
        <x:v>Person</x:v>
      </x:c>
      <x:c r="F1132" s="37" t="str">
        <x:v>Not established here</x:v>
      </x:c>
      <x:c r="G1132" s="33" t="str">
        <x:v>Not included in this affirmative shortlist. This is not a finding of non-genius.</x:v>
      </x:c>
      <x:c r="H1132" s="29" t="str">
        <x:v>Peace roster</x:v>
      </x:c>
    </x:row>
    <x:row r="1133" ht="36" customHeight="1">
      <x:c r="A1133" s="29" t="str">
        <x:v>Peace</x:v>
      </x:c>
      <x:c r="B1133" s="33" t="str">
        <x:v>Alva Myrdal</x:v>
      </x:c>
      <x:c r="C1133" s="35" t="n">
        <x:v>1982</x:v>
      </x:c>
      <x:c r="D1133" s="36" t="str">
        <x:v>1982</x:v>
      </x:c>
      <x:c r="E1133" s="36" t="str">
        <x:v>Person</x:v>
      </x:c>
      <x:c r="F1133" s="37" t="str">
        <x:v>Not established here</x:v>
      </x:c>
      <x:c r="G1133" s="33" t="str">
        <x:v>Not included in this affirmative shortlist. This is not a finding of non-genius.</x:v>
      </x:c>
      <x:c r="H1133" s="29" t="str">
        <x:v>Peace roster</x:v>
      </x:c>
    </x:row>
    <x:row r="1134" ht="36" customHeight="1">
      <x:c r="A1134" s="29" t="str">
        <x:v>Peace</x:v>
      </x:c>
      <x:c r="B1134" s="33" t="str">
        <x:v>Lech Wałęsa</x:v>
      </x:c>
      <x:c r="C1134" s="35" t="n">
        <x:v>1983</x:v>
      </x:c>
      <x:c r="D1134" s="36" t="str">
        <x:v>1983</x:v>
      </x:c>
      <x:c r="E1134" s="36" t="str">
        <x:v>Person</x:v>
      </x:c>
      <x:c r="F1134" s="37" t="str">
        <x:v>Not established here</x:v>
      </x:c>
      <x:c r="G1134" s="33" t="str">
        <x:v>Not included in this affirmative shortlist. This is not a finding of non-genius.</x:v>
      </x:c>
      <x:c r="H1134" s="29" t="str">
        <x:v>Peace roster</x:v>
      </x:c>
    </x:row>
    <x:row r="1135" ht="36" customHeight="1">
      <x:c r="A1135" s="29" t="str">
        <x:v>Peace</x:v>
      </x:c>
      <x:c r="B1135" s="33" t="str">
        <x:v>Desmond Tutu</x:v>
      </x:c>
      <x:c r="C1135" s="35" t="n">
        <x:v>1984</x:v>
      </x:c>
      <x:c r="D1135" s="36" t="str">
        <x:v>1984</x:v>
      </x:c>
      <x:c r="E1135" s="36" t="str">
        <x:v>Person</x:v>
      </x:c>
      <x:c r="F1135" s="37" t="str">
        <x:v>Not established here</x:v>
      </x:c>
      <x:c r="G1135" s="33" t="str">
        <x:v>Not included in this affirmative shortlist. This is not a finding of non-genius.</x:v>
      </x:c>
      <x:c r="H1135" s="29" t="str">
        <x:v>Peace roster</x:v>
      </x:c>
    </x:row>
    <x:row r="1136" ht="36" customHeight="1">
      <x:c r="A1136" s="29" t="str">
        <x:v>Peace</x:v>
      </x:c>
      <x:c r="B1136" s="33" t="str">
        <x:v>International Physicians for the Prevention of Nuclear War</x:v>
      </x:c>
      <x:c r="C1136" s="35" t="n">
        <x:v>1985</x:v>
      </x:c>
      <x:c r="D1136" s="36" t="str">
        <x:v>1985</x:v>
      </x:c>
      <x:c r="E1136" s="36" t="str">
        <x:v>Organization</x:v>
      </x:c>
      <x:c r="F1136" s="37" t="str">
        <x:v>Not applicable</x:v>
      </x:c>
      <x:c r="G1136" s="33" t="str">
        <x:v>Organization: excluded from the person denominator.</x:v>
      </x:c>
      <x:c r="H1136" s="29" t="str">
        <x:v>Peace roster</x:v>
      </x:c>
    </x:row>
    <x:row r="1137" ht="36" customHeight="1">
      <x:c r="A1137" s="29" t="str">
        <x:v>Peace</x:v>
      </x:c>
      <x:c r="B1137" s="33" t="str">
        <x:v>Elie Wiesel</x:v>
      </x:c>
      <x:c r="C1137" s="35" t="n">
        <x:v>1986</x:v>
      </x:c>
      <x:c r="D1137" s="36" t="str">
        <x:v>1986</x:v>
      </x:c>
      <x:c r="E1137" s="36" t="str">
        <x:v>Person</x:v>
      </x:c>
      <x:c r="F1137" s="37" t="str">
        <x:v>Not established here</x:v>
      </x:c>
      <x:c r="G1137" s="33" t="str">
        <x:v>Not included in this affirmative shortlist. This is not a finding of non-genius.</x:v>
      </x:c>
      <x:c r="H1137" s="29" t="str">
        <x:v>Peace roster</x:v>
      </x:c>
    </x:row>
    <x:row r="1138" ht="36" customHeight="1">
      <x:c r="A1138" s="29" t="str">
        <x:v>Peace</x:v>
      </x:c>
      <x:c r="B1138" s="33" t="str">
        <x:v>Óscar Arias</x:v>
      </x:c>
      <x:c r="C1138" s="35" t="n">
        <x:v>1987</x:v>
      </x:c>
      <x:c r="D1138" s="36" t="str">
        <x:v>1987</x:v>
      </x:c>
      <x:c r="E1138" s="36" t="str">
        <x:v>Person</x:v>
      </x:c>
      <x:c r="F1138" s="37" t="str">
        <x:v>Not established here</x:v>
      </x:c>
      <x:c r="G1138" s="33" t="str">
        <x:v>Not included in this affirmative shortlist. This is not a finding of non-genius.</x:v>
      </x:c>
      <x:c r="H1138" s="29" t="str">
        <x:v>Peace roster</x:v>
      </x:c>
    </x:row>
    <x:row r="1139" ht="36" customHeight="1">
      <x:c r="A1139" s="29" t="str">
        <x:v>Peace</x:v>
      </x:c>
      <x:c r="B1139" s="33" t="str">
        <x:v>United Nations Peace-Keeping Forces</x:v>
      </x:c>
      <x:c r="C1139" s="35" t="n">
        <x:v>1988</x:v>
      </x:c>
      <x:c r="D1139" s="36" t="str">
        <x:v>1988</x:v>
      </x:c>
      <x:c r="E1139" s="36" t="str">
        <x:v>Organization</x:v>
      </x:c>
      <x:c r="F1139" s="37" t="str">
        <x:v>Not applicable</x:v>
      </x:c>
      <x:c r="G1139" s="33" t="str">
        <x:v>Organization: excluded from the person denominator.</x:v>
      </x:c>
      <x:c r="H1139" s="29" t="str">
        <x:v>Peace roster</x:v>
      </x:c>
    </x:row>
    <x:row r="1140" ht="36" customHeight="1">
      <x:c r="A1140" s="29" t="str">
        <x:v>Peace</x:v>
      </x:c>
      <x:c r="B1140" s="33" t="str">
        <x:v>Tenzin Gyatso (14th Dalai Lama)</x:v>
      </x:c>
      <x:c r="C1140" s="35" t="n">
        <x:v>1989</x:v>
      </x:c>
      <x:c r="D1140" s="36" t="str">
        <x:v>1989</x:v>
      </x:c>
      <x:c r="E1140" s="36" t="str">
        <x:v>Person</x:v>
      </x:c>
      <x:c r="F1140" s="37" t="str">
        <x:v>Not established here</x:v>
      </x:c>
      <x:c r="G1140" s="33" t="str">
        <x:v>Not included in this affirmative shortlist. This is not a finding of non-genius.</x:v>
      </x:c>
      <x:c r="H1140" s="29" t="str">
        <x:v>Peace roster</x:v>
      </x:c>
    </x:row>
    <x:row r="1141" ht="36" customHeight="1">
      <x:c r="A1141" s="29" t="str">
        <x:v>Peace</x:v>
      </x:c>
      <x:c r="B1141" s="33" t="str">
        <x:v>Mikhail Gorbachev</x:v>
      </x:c>
      <x:c r="C1141" s="35" t="n">
        <x:v>1990</x:v>
      </x:c>
      <x:c r="D1141" s="36" t="str">
        <x:v>1990</x:v>
      </x:c>
      <x:c r="E1141" s="36" t="str">
        <x:v>Person</x:v>
      </x:c>
      <x:c r="F1141" s="37" t="str">
        <x:v>Not established here</x:v>
      </x:c>
      <x:c r="G1141" s="33" t="str">
        <x:v>Not included in this affirmative shortlist. This is not a finding of non-genius.</x:v>
      </x:c>
      <x:c r="H1141" s="29" t="str">
        <x:v>Peace roster</x:v>
      </x:c>
    </x:row>
    <x:row r="1142" ht="36" customHeight="1">
      <x:c r="A1142" s="29" t="str">
        <x:v>Peace</x:v>
      </x:c>
      <x:c r="B1142" s="33" t="str">
        <x:v>Aung San Suu Kyi</x:v>
      </x:c>
      <x:c r="C1142" s="35" t="n">
        <x:v>1991</x:v>
      </x:c>
      <x:c r="D1142" s="36" t="str">
        <x:v>1991</x:v>
      </x:c>
      <x:c r="E1142" s="36" t="str">
        <x:v>Person</x:v>
      </x:c>
      <x:c r="F1142" s="37" t="str">
        <x:v>Not established here</x:v>
      </x:c>
      <x:c r="G1142" s="33" t="str">
        <x:v>Not included in this affirmative shortlist. This is not a finding of non-genius.</x:v>
      </x:c>
      <x:c r="H1142" s="29" t="str">
        <x:v>Peace roster</x:v>
      </x:c>
    </x:row>
    <x:row r="1143" ht="36" customHeight="1">
      <x:c r="A1143" s="29" t="str">
        <x:v>Peace</x:v>
      </x:c>
      <x:c r="B1143" s="33" t="str">
        <x:v>Rigoberta Menchú</x:v>
      </x:c>
      <x:c r="C1143" s="35" t="n">
        <x:v>1992</x:v>
      </x:c>
      <x:c r="D1143" s="36" t="str">
        <x:v>1992</x:v>
      </x:c>
      <x:c r="E1143" s="36" t="str">
        <x:v>Person</x:v>
      </x:c>
      <x:c r="F1143" s="37" t="str">
        <x:v>Not established here</x:v>
      </x:c>
      <x:c r="G1143" s="33" t="str">
        <x:v>Not included in this affirmative shortlist. This is not a finding of non-genius.</x:v>
      </x:c>
      <x:c r="H1143" s="29" t="str">
        <x:v>Peace roster</x:v>
      </x:c>
    </x:row>
    <x:row r="1144" ht="36" customHeight="1">
      <x:c r="A1144" s="29" t="str">
        <x:v>Peace</x:v>
      </x:c>
      <x:c r="B1144" s="33" t="str">
        <x:v>Frederik Willem de Klerk</x:v>
      </x:c>
      <x:c r="C1144" s="35" t="n">
        <x:v>1993</x:v>
      </x:c>
      <x:c r="D1144" s="36" t="str">
        <x:v>1993</x:v>
      </x:c>
      <x:c r="E1144" s="36" t="str">
        <x:v>Person</x:v>
      </x:c>
      <x:c r="F1144" s="37" t="str">
        <x:v>Not established here</x:v>
      </x:c>
      <x:c r="G1144" s="33" t="str">
        <x:v>Not included in this affirmative shortlist. This is not a finding of non-genius.</x:v>
      </x:c>
      <x:c r="H1144" s="29" t="str">
        <x:v>Peace roster</x:v>
      </x:c>
    </x:row>
    <x:row r="1145" ht="36" customHeight="1">
      <x:c r="A1145" s="29" t="str">
        <x:v>Peace</x:v>
      </x:c>
      <x:c r="B1145" s="33" t="str">
        <x:v>Nelson Mandela</x:v>
      </x:c>
      <x:c r="C1145" s="35" t="n">
        <x:v>1993</x:v>
      </x:c>
      <x:c r="D1145" s="36" t="str">
        <x:v>1993</x:v>
      </x:c>
      <x:c r="E1145" s="36" t="str">
        <x:v>Person</x:v>
      </x:c>
      <x:c r="F1145" s="37" t="str">
        <x:v>Not established here</x:v>
      </x:c>
      <x:c r="G1145" s="33" t="str">
        <x:v>Not included in this affirmative shortlist. This is not a finding of non-genius.</x:v>
      </x:c>
      <x:c r="H1145" s="29" t="str">
        <x:v>Peace roster</x:v>
      </x:c>
    </x:row>
    <x:row r="1146" ht="36" customHeight="1">
      <x:c r="A1146" s="29" t="str">
        <x:v>Peace</x:v>
      </x:c>
      <x:c r="B1146" s="33" t="str">
        <x:v>Shimon Peres</x:v>
      </x:c>
      <x:c r="C1146" s="35" t="n">
        <x:v>1994</x:v>
      </x:c>
      <x:c r="D1146" s="36" t="str">
        <x:v>1994</x:v>
      </x:c>
      <x:c r="E1146" s="36" t="str">
        <x:v>Person</x:v>
      </x:c>
      <x:c r="F1146" s="37" t="str">
        <x:v>Not established here</x:v>
      </x:c>
      <x:c r="G1146" s="33" t="str">
        <x:v>Not included in this affirmative shortlist. This is not a finding of non-genius.</x:v>
      </x:c>
      <x:c r="H1146" s="29" t="str">
        <x:v>Peace roster</x:v>
      </x:c>
    </x:row>
    <x:row r="1147" ht="36" customHeight="1">
      <x:c r="A1147" s="29" t="str">
        <x:v>Peace</x:v>
      </x:c>
      <x:c r="B1147" s="33" t="str">
        <x:v>Yasser Arafat</x:v>
      </x:c>
      <x:c r="C1147" s="35" t="n">
        <x:v>1994</x:v>
      </x:c>
      <x:c r="D1147" s="36" t="str">
        <x:v>1994</x:v>
      </x:c>
      <x:c r="E1147" s="36" t="str">
        <x:v>Person</x:v>
      </x:c>
      <x:c r="F1147" s="37" t="str">
        <x:v>Not established here</x:v>
      </x:c>
      <x:c r="G1147" s="33" t="str">
        <x:v>Not included in this affirmative shortlist. This is not a finding of non-genius.</x:v>
      </x:c>
      <x:c r="H1147" s="29" t="str">
        <x:v>Peace roster</x:v>
      </x:c>
    </x:row>
    <x:row r="1148" ht="36" customHeight="1">
      <x:c r="A1148" s="29" t="str">
        <x:v>Peace</x:v>
      </x:c>
      <x:c r="B1148" s="33" t="str">
        <x:v>Yitzhak Rabin</x:v>
      </x:c>
      <x:c r="C1148" s="35" t="n">
        <x:v>1994</x:v>
      </x:c>
      <x:c r="D1148" s="36" t="str">
        <x:v>1994</x:v>
      </x:c>
      <x:c r="E1148" s="36" t="str">
        <x:v>Person</x:v>
      </x:c>
      <x:c r="F1148" s="37" t="str">
        <x:v>Not established here</x:v>
      </x:c>
      <x:c r="G1148" s="33" t="str">
        <x:v>Not included in this affirmative shortlist. This is not a finding of non-genius.</x:v>
      </x:c>
      <x:c r="H1148" s="29" t="str">
        <x:v>Peace roster</x:v>
      </x:c>
    </x:row>
    <x:row r="1149" ht="36" customHeight="1">
      <x:c r="A1149" s="29" t="str">
        <x:v>Peace</x:v>
      </x:c>
      <x:c r="B1149" s="33" t="str">
        <x:v>Joseph Rotblat</x:v>
      </x:c>
      <x:c r="C1149" s="35" t="n">
        <x:v>1995</x:v>
      </x:c>
      <x:c r="D1149" s="36" t="str">
        <x:v>1995</x:v>
      </x:c>
      <x:c r="E1149" s="36" t="str">
        <x:v>Person</x:v>
      </x:c>
      <x:c r="F1149" s="37" t="str">
        <x:v>Not established here</x:v>
      </x:c>
      <x:c r="G1149" s="33" t="str">
        <x:v>Not included in this affirmative shortlist. This is not a finding of non-genius.</x:v>
      </x:c>
      <x:c r="H1149" s="29" t="str">
        <x:v>Peace roster</x:v>
      </x:c>
    </x:row>
    <x:row r="1150" ht="36" customHeight="1">
      <x:c r="A1150" s="29" t="str">
        <x:v>Peace</x:v>
      </x:c>
      <x:c r="B1150" s="33" t="str">
        <x:v>Pugwash Conferences on Science and World Affairs</x:v>
      </x:c>
      <x:c r="C1150" s="35" t="n">
        <x:v>1995</x:v>
      </x:c>
      <x:c r="D1150" s="36" t="str">
        <x:v>1995</x:v>
      </x:c>
      <x:c r="E1150" s="36" t="str">
        <x:v>Organization</x:v>
      </x:c>
      <x:c r="F1150" s="37" t="str">
        <x:v>Not applicable</x:v>
      </x:c>
      <x:c r="G1150" s="33" t="str">
        <x:v>Organization: excluded from the person denominator.</x:v>
      </x:c>
      <x:c r="H1150" s="29" t="str">
        <x:v>Peace roster</x:v>
      </x:c>
    </x:row>
    <x:row r="1151" ht="36" customHeight="1">
      <x:c r="A1151" s="29" t="str">
        <x:v>Peace</x:v>
      </x:c>
      <x:c r="B1151" s="33" t="str">
        <x:v>Carlos Filipe Ximenes Belo</x:v>
      </x:c>
      <x:c r="C1151" s="35" t="n">
        <x:v>1996</x:v>
      </x:c>
      <x:c r="D1151" s="36" t="str">
        <x:v>1996</x:v>
      </x:c>
      <x:c r="E1151" s="36" t="str">
        <x:v>Person</x:v>
      </x:c>
      <x:c r="F1151" s="37" t="str">
        <x:v>Not established here</x:v>
      </x:c>
      <x:c r="G1151" s="33" t="str">
        <x:v>Not included in this affirmative shortlist. This is not a finding of non-genius.</x:v>
      </x:c>
      <x:c r="H1151" s="29" t="str">
        <x:v>Peace roster</x:v>
      </x:c>
    </x:row>
    <x:row r="1152" ht="36" customHeight="1">
      <x:c r="A1152" s="29" t="str">
        <x:v>Peace</x:v>
      </x:c>
      <x:c r="B1152" s="33" t="str">
        <x:v>José Ramos-Horta</x:v>
      </x:c>
      <x:c r="C1152" s="35" t="n">
        <x:v>1996</x:v>
      </x:c>
      <x:c r="D1152" s="36" t="str">
        <x:v>1996</x:v>
      </x:c>
      <x:c r="E1152" s="36" t="str">
        <x:v>Person</x:v>
      </x:c>
      <x:c r="F1152" s="37" t="str">
        <x:v>Not established here</x:v>
      </x:c>
      <x:c r="G1152" s="33" t="str">
        <x:v>Not included in this affirmative shortlist. This is not a finding of non-genius.</x:v>
      </x:c>
      <x:c r="H1152" s="29" t="str">
        <x:v>Peace roster</x:v>
      </x:c>
    </x:row>
    <x:row r="1153" ht="36" customHeight="1">
      <x:c r="A1153" s="29" t="str">
        <x:v>Peace</x:v>
      </x:c>
      <x:c r="B1153" s="33" t="str">
        <x:v>International Campaign to Ban Landmines</x:v>
      </x:c>
      <x:c r="C1153" s="35" t="n">
        <x:v>1997</x:v>
      </x:c>
      <x:c r="D1153" s="36" t="str">
        <x:v>1997</x:v>
      </x:c>
      <x:c r="E1153" s="36" t="str">
        <x:v>Organization</x:v>
      </x:c>
      <x:c r="F1153" s="37" t="str">
        <x:v>Not applicable</x:v>
      </x:c>
      <x:c r="G1153" s="33" t="str">
        <x:v>Organization: excluded from the person denominator.</x:v>
      </x:c>
      <x:c r="H1153" s="29" t="str">
        <x:v>Peace roster</x:v>
      </x:c>
    </x:row>
    <x:row r="1154" ht="36" customHeight="1">
      <x:c r="A1154" s="29" t="str">
        <x:v>Peace</x:v>
      </x:c>
      <x:c r="B1154" s="33" t="str">
        <x:v>Jody Williams</x:v>
      </x:c>
      <x:c r="C1154" s="35" t="n">
        <x:v>1997</x:v>
      </x:c>
      <x:c r="D1154" s="36" t="str">
        <x:v>1997</x:v>
      </x:c>
      <x:c r="E1154" s="36" t="str">
        <x:v>Person</x:v>
      </x:c>
      <x:c r="F1154" s="37" t="str">
        <x:v>Not established here</x:v>
      </x:c>
      <x:c r="G1154" s="33" t="str">
        <x:v>Not included in this affirmative shortlist. This is not a finding of non-genius.</x:v>
      </x:c>
      <x:c r="H1154" s="29" t="str">
        <x:v>Peace roster</x:v>
      </x:c>
    </x:row>
    <x:row r="1155" ht="36" customHeight="1">
      <x:c r="A1155" s="29" t="str">
        <x:v>Peace</x:v>
      </x:c>
      <x:c r="B1155" s="33" t="str">
        <x:v>David Trimble</x:v>
      </x:c>
      <x:c r="C1155" s="35" t="n">
        <x:v>1998</x:v>
      </x:c>
      <x:c r="D1155" s="36" t="str">
        <x:v>1998</x:v>
      </x:c>
      <x:c r="E1155" s="36" t="str">
        <x:v>Person</x:v>
      </x:c>
      <x:c r="F1155" s="37" t="str">
        <x:v>Not established here</x:v>
      </x:c>
      <x:c r="G1155" s="33" t="str">
        <x:v>Not included in this affirmative shortlist. This is not a finding of non-genius.</x:v>
      </x:c>
      <x:c r="H1155" s="29" t="str">
        <x:v>Peace roster</x:v>
      </x:c>
    </x:row>
    <x:row r="1156" ht="36" customHeight="1">
      <x:c r="A1156" s="29" t="str">
        <x:v>Peace</x:v>
      </x:c>
      <x:c r="B1156" s="33" t="str">
        <x:v>John Hume</x:v>
      </x:c>
      <x:c r="C1156" s="35" t="n">
        <x:v>1998</x:v>
      </x:c>
      <x:c r="D1156" s="36" t="str">
        <x:v>1998</x:v>
      </x:c>
      <x:c r="E1156" s="36" t="str">
        <x:v>Person</x:v>
      </x:c>
      <x:c r="F1156" s="37" t="str">
        <x:v>Not established here</x:v>
      </x:c>
      <x:c r="G1156" s="33" t="str">
        <x:v>Not included in this affirmative shortlist. This is not a finding of non-genius.</x:v>
      </x:c>
      <x:c r="H1156" s="29" t="str">
        <x:v>Peace roster</x:v>
      </x:c>
    </x:row>
    <x:row r="1157" ht="36" customHeight="1">
      <x:c r="A1157" s="29" t="str">
        <x:v>Peace</x:v>
      </x:c>
      <x:c r="B1157" s="33" t="str">
        <x:v>Médecins Sans Frontières</x:v>
      </x:c>
      <x:c r="C1157" s="35" t="n">
        <x:v>1999</x:v>
      </x:c>
      <x:c r="D1157" s="36" t="str">
        <x:v>1999</x:v>
      </x:c>
      <x:c r="E1157" s="36" t="str">
        <x:v>Organization</x:v>
      </x:c>
      <x:c r="F1157" s="37" t="str">
        <x:v>Not applicable</x:v>
      </x:c>
      <x:c r="G1157" s="33" t="str">
        <x:v>Organization: excluded from the person denominator.</x:v>
      </x:c>
      <x:c r="H1157" s="29" t="str">
        <x:v>Peace roster</x:v>
      </x:c>
    </x:row>
    <x:row r="1158" ht="36" customHeight="1">
      <x:c r="A1158" s="29" t="str">
        <x:v>Peace</x:v>
      </x:c>
      <x:c r="B1158" s="33" t="str">
        <x:v>Kim Dae-jung</x:v>
      </x:c>
      <x:c r="C1158" s="35" t="n">
        <x:v>2000</x:v>
      </x:c>
      <x:c r="D1158" s="36" t="str">
        <x:v>2000</x:v>
      </x:c>
      <x:c r="E1158" s="36" t="str">
        <x:v>Person</x:v>
      </x:c>
      <x:c r="F1158" s="37" t="str">
        <x:v>Not established here</x:v>
      </x:c>
      <x:c r="G1158" s="33" t="str">
        <x:v>Not included in this affirmative shortlist. This is not a finding of non-genius.</x:v>
      </x:c>
      <x:c r="H1158" s="29" t="str">
        <x:v>Peace roster</x:v>
      </x:c>
    </x:row>
    <x:row r="1159" ht="36" customHeight="1">
      <x:c r="A1159" s="29" t="str">
        <x:v>Peace</x:v>
      </x:c>
      <x:c r="B1159" s="33" t="str">
        <x:v>Kofi Annan</x:v>
      </x:c>
      <x:c r="C1159" s="35" t="n">
        <x:v>2001</x:v>
      </x:c>
      <x:c r="D1159" s="36" t="str">
        <x:v>2001</x:v>
      </x:c>
      <x:c r="E1159" s="36" t="str">
        <x:v>Person</x:v>
      </x:c>
      <x:c r="F1159" s="37" t="str">
        <x:v>Not established here</x:v>
      </x:c>
      <x:c r="G1159" s="33" t="str">
        <x:v>Not included in this affirmative shortlist. This is not a finding of non-genius.</x:v>
      </x:c>
      <x:c r="H1159" s="29" t="str">
        <x:v>Peace roster</x:v>
      </x:c>
    </x:row>
    <x:row r="1160" ht="36" customHeight="1">
      <x:c r="A1160" s="29" t="str">
        <x:v>Peace</x:v>
      </x:c>
      <x:c r="B1160" s="33" t="str">
        <x:v>United Nations</x:v>
      </x:c>
      <x:c r="C1160" s="35" t="n">
        <x:v>2001</x:v>
      </x:c>
      <x:c r="D1160" s="36" t="str">
        <x:v>2001</x:v>
      </x:c>
      <x:c r="E1160" s="36" t="str">
        <x:v>Organization</x:v>
      </x:c>
      <x:c r="F1160" s="37" t="str">
        <x:v>Not applicable</x:v>
      </x:c>
      <x:c r="G1160" s="33" t="str">
        <x:v>Organization: excluded from the person denominator.</x:v>
      </x:c>
      <x:c r="H1160" s="29" t="str">
        <x:v>Peace roster</x:v>
      </x:c>
    </x:row>
    <x:row r="1161" ht="36" customHeight="1">
      <x:c r="A1161" s="29" t="str">
        <x:v>Peace</x:v>
      </x:c>
      <x:c r="B1161" s="33" t="str">
        <x:v>Jimmy Carter</x:v>
      </x:c>
      <x:c r="C1161" s="35" t="n">
        <x:v>2002</x:v>
      </x:c>
      <x:c r="D1161" s="36" t="str">
        <x:v>2002</x:v>
      </x:c>
      <x:c r="E1161" s="36" t="str">
        <x:v>Person</x:v>
      </x:c>
      <x:c r="F1161" s="37" t="str">
        <x:v>Not established here</x:v>
      </x:c>
      <x:c r="G1161" s="33" t="str">
        <x:v>Not included in this affirmative shortlist. This is not a finding of non-genius.</x:v>
      </x:c>
      <x:c r="H1161" s="29" t="str">
        <x:v>Peace roster</x:v>
      </x:c>
    </x:row>
    <x:row r="1162" ht="36" customHeight="1">
      <x:c r="A1162" s="29" t="str">
        <x:v>Peace</x:v>
      </x:c>
      <x:c r="B1162" s="33" t="str">
        <x:v>Shirin Ebadi</x:v>
      </x:c>
      <x:c r="C1162" s="35" t="n">
        <x:v>2003</x:v>
      </x:c>
      <x:c r="D1162" s="36" t="str">
        <x:v>2003</x:v>
      </x:c>
      <x:c r="E1162" s="36" t="str">
        <x:v>Person</x:v>
      </x:c>
      <x:c r="F1162" s="37" t="str">
        <x:v>Not established here</x:v>
      </x:c>
      <x:c r="G1162" s="33" t="str">
        <x:v>Not included in this affirmative shortlist. This is not a finding of non-genius.</x:v>
      </x:c>
      <x:c r="H1162" s="29" t="str">
        <x:v>Peace roster</x:v>
      </x:c>
    </x:row>
    <x:row r="1163" ht="36" customHeight="1">
      <x:c r="A1163" s="29" t="str">
        <x:v>Peace</x:v>
      </x:c>
      <x:c r="B1163" s="33" t="str">
        <x:v>Wangari Maathai</x:v>
      </x:c>
      <x:c r="C1163" s="35" t="n">
        <x:v>2004</x:v>
      </x:c>
      <x:c r="D1163" s="36" t="str">
        <x:v>2004</x:v>
      </x:c>
      <x:c r="E1163" s="36" t="str">
        <x:v>Person</x:v>
      </x:c>
      <x:c r="F1163" s="37" t="str">
        <x:v>Not established here</x:v>
      </x:c>
      <x:c r="G1163" s="33" t="str">
        <x:v>Not included in this affirmative shortlist. This is not a finding of non-genius.</x:v>
      </x:c>
      <x:c r="H1163" s="29" t="str">
        <x:v>Peace roster</x:v>
      </x:c>
    </x:row>
    <x:row r="1164" ht="36" customHeight="1">
      <x:c r="A1164" s="29" t="str">
        <x:v>Peace</x:v>
      </x:c>
      <x:c r="B1164" s="33" t="str">
        <x:v>International Atomic Energy Agency</x:v>
      </x:c>
      <x:c r="C1164" s="35" t="n">
        <x:v>2005</x:v>
      </x:c>
      <x:c r="D1164" s="36" t="str">
        <x:v>2005</x:v>
      </x:c>
      <x:c r="E1164" s="36" t="str">
        <x:v>Organization</x:v>
      </x:c>
      <x:c r="F1164" s="37" t="str">
        <x:v>Not applicable</x:v>
      </x:c>
      <x:c r="G1164" s="33" t="str">
        <x:v>Organization: excluded from the person denominator.</x:v>
      </x:c>
      <x:c r="H1164" s="29" t="str">
        <x:v>Peace roster</x:v>
      </x:c>
    </x:row>
    <x:row r="1165" ht="36" customHeight="1">
      <x:c r="A1165" s="29" t="str">
        <x:v>Peace</x:v>
      </x:c>
      <x:c r="B1165" s="33" t="str">
        <x:v>Mohamed ElBaradei</x:v>
      </x:c>
      <x:c r="C1165" s="35" t="n">
        <x:v>2005</x:v>
      </x:c>
      <x:c r="D1165" s="36" t="str">
        <x:v>2005</x:v>
      </x:c>
      <x:c r="E1165" s="36" t="str">
        <x:v>Person</x:v>
      </x:c>
      <x:c r="F1165" s="37" t="str">
        <x:v>Not established here</x:v>
      </x:c>
      <x:c r="G1165" s="33" t="str">
        <x:v>Not included in this affirmative shortlist. This is not a finding of non-genius.</x:v>
      </x:c>
      <x:c r="H1165" s="29" t="str">
        <x:v>Peace roster</x:v>
      </x:c>
    </x:row>
    <x:row r="1166" ht="36" customHeight="1">
      <x:c r="A1166" s="29" t="str">
        <x:v>Peace</x:v>
      </x:c>
      <x:c r="B1166" s="33" t="str">
        <x:v>Grameen Bank</x:v>
      </x:c>
      <x:c r="C1166" s="35" t="n">
        <x:v>2006</x:v>
      </x:c>
      <x:c r="D1166" s="36" t="str">
        <x:v>2006</x:v>
      </x:c>
      <x:c r="E1166" s="36" t="str">
        <x:v>Organization</x:v>
      </x:c>
      <x:c r="F1166" s="37" t="str">
        <x:v>Not applicable</x:v>
      </x:c>
      <x:c r="G1166" s="33" t="str">
        <x:v>Organization: excluded from the person denominator.</x:v>
      </x:c>
      <x:c r="H1166" s="29" t="str">
        <x:v>Peace roster</x:v>
      </x:c>
    </x:row>
    <x:row r="1167" ht="36" customHeight="1">
      <x:c r="A1167" s="29" t="str">
        <x:v>Peace</x:v>
      </x:c>
      <x:c r="B1167" s="33" t="str">
        <x:v>Muhammad Yunus</x:v>
      </x:c>
      <x:c r="C1167" s="35" t="n">
        <x:v>2006</x:v>
      </x:c>
      <x:c r="D1167" s="36" t="str">
        <x:v>2006</x:v>
      </x:c>
      <x:c r="E1167" s="36" t="str">
        <x:v>Person</x:v>
      </x:c>
      <x:c r="F1167" s="37" t="str">
        <x:v>Not established here</x:v>
      </x:c>
      <x:c r="G1167" s="33" t="str">
        <x:v>Not included in this affirmative shortlist. This is not a finding of non-genius.</x:v>
      </x:c>
      <x:c r="H1167" s="29" t="str">
        <x:v>Peace roster</x:v>
      </x:c>
    </x:row>
    <x:row r="1168" ht="36" customHeight="1">
      <x:c r="A1168" s="29" t="str">
        <x:v>Peace</x:v>
      </x:c>
      <x:c r="B1168" s="33" t="str">
        <x:v>Al Gore</x:v>
      </x:c>
      <x:c r="C1168" s="35" t="n">
        <x:v>2007</x:v>
      </x:c>
      <x:c r="D1168" s="36" t="str">
        <x:v>2007</x:v>
      </x:c>
      <x:c r="E1168" s="36" t="str">
        <x:v>Person</x:v>
      </x:c>
      <x:c r="F1168" s="37" t="str">
        <x:v>Not established here</x:v>
      </x:c>
      <x:c r="G1168" s="33" t="str">
        <x:v>Not included in this affirmative shortlist. This is not a finding of non-genius.</x:v>
      </x:c>
      <x:c r="H1168" s="29" t="str">
        <x:v>Peace roster</x:v>
      </x:c>
    </x:row>
    <x:row r="1169" ht="36" customHeight="1">
      <x:c r="A1169" s="29" t="str">
        <x:v>Peace</x:v>
      </x:c>
      <x:c r="B1169" s="33" t="str">
        <x:v>Intergovernmental Panel on Climate Change</x:v>
      </x:c>
      <x:c r="C1169" s="35" t="n">
        <x:v>2007</x:v>
      </x:c>
      <x:c r="D1169" s="36" t="str">
        <x:v>2007</x:v>
      </x:c>
      <x:c r="E1169" s="36" t="str">
        <x:v>Organization</x:v>
      </x:c>
      <x:c r="F1169" s="37" t="str">
        <x:v>Not applicable</x:v>
      </x:c>
      <x:c r="G1169" s="33" t="str">
        <x:v>Organization: excluded from the person denominator.</x:v>
      </x:c>
      <x:c r="H1169" s="29" t="str">
        <x:v>Peace roster</x:v>
      </x:c>
    </x:row>
    <x:row r="1170" ht="36" customHeight="1">
      <x:c r="A1170" s="29" t="str">
        <x:v>Peace</x:v>
      </x:c>
      <x:c r="B1170" s="33" t="str">
        <x:v>Martti Ahtisaari</x:v>
      </x:c>
      <x:c r="C1170" s="35" t="n">
        <x:v>2008</x:v>
      </x:c>
      <x:c r="D1170" s="36" t="str">
        <x:v>2008</x:v>
      </x:c>
      <x:c r="E1170" s="36" t="str">
        <x:v>Person</x:v>
      </x:c>
      <x:c r="F1170" s="37" t="str">
        <x:v>Not established here</x:v>
      </x:c>
      <x:c r="G1170" s="33" t="str">
        <x:v>Not included in this affirmative shortlist. This is not a finding of non-genius.</x:v>
      </x:c>
      <x:c r="H1170" s="29" t="str">
        <x:v>Peace roster</x:v>
      </x:c>
    </x:row>
    <x:row r="1171" ht="36" customHeight="1">
      <x:c r="A1171" s="29" t="str">
        <x:v>Peace</x:v>
      </x:c>
      <x:c r="B1171" s="33" t="str">
        <x:v>Barack Obama</x:v>
      </x:c>
      <x:c r="C1171" s="35" t="n">
        <x:v>2009</x:v>
      </x:c>
      <x:c r="D1171" s="36" t="str">
        <x:v>2009</x:v>
      </x:c>
      <x:c r="E1171" s="36" t="str">
        <x:v>Person</x:v>
      </x:c>
      <x:c r="F1171" s="37" t="str">
        <x:v>Not established here</x:v>
      </x:c>
      <x:c r="G1171" s="33" t="str">
        <x:v>Not included in this affirmative shortlist. This is not a finding of non-genius.</x:v>
      </x:c>
      <x:c r="H1171" s="29" t="str">
        <x:v>Peace roster</x:v>
      </x:c>
    </x:row>
    <x:row r="1172" ht="36" customHeight="1">
      <x:c r="A1172" s="29" t="str">
        <x:v>Peace</x:v>
      </x:c>
      <x:c r="B1172" s="33" t="str">
        <x:v>Liu Xiaobo</x:v>
      </x:c>
      <x:c r="C1172" s="35" t="n">
        <x:v>2010</x:v>
      </x:c>
      <x:c r="D1172" s="36" t="str">
        <x:v>2010</x:v>
      </x:c>
      <x:c r="E1172" s="36" t="str">
        <x:v>Person</x:v>
      </x:c>
      <x:c r="F1172" s="37" t="str">
        <x:v>Not established here</x:v>
      </x:c>
      <x:c r="G1172" s="33" t="str">
        <x:v>Not included in this affirmative shortlist. This is not a finding of non-genius.</x:v>
      </x:c>
      <x:c r="H1172" s="29" t="str">
        <x:v>Peace roster</x:v>
      </x:c>
    </x:row>
    <x:row r="1173" ht="36" customHeight="1">
      <x:c r="A1173" s="29" t="str">
        <x:v>Peace</x:v>
      </x:c>
      <x:c r="B1173" s="33" t="str">
        <x:v>Ellen Johnson Sirleaf</x:v>
      </x:c>
      <x:c r="C1173" s="35" t="n">
        <x:v>2011</x:v>
      </x:c>
      <x:c r="D1173" s="36" t="str">
        <x:v>2011</x:v>
      </x:c>
      <x:c r="E1173" s="36" t="str">
        <x:v>Person</x:v>
      </x:c>
      <x:c r="F1173" s="37" t="str">
        <x:v>Not established here</x:v>
      </x:c>
      <x:c r="G1173" s="33" t="str">
        <x:v>Not included in this affirmative shortlist. This is not a finding of non-genius.</x:v>
      </x:c>
      <x:c r="H1173" s="29" t="str">
        <x:v>Peace roster</x:v>
      </x:c>
    </x:row>
    <x:row r="1174" ht="36" customHeight="1">
      <x:c r="A1174" s="29" t="str">
        <x:v>Peace</x:v>
      </x:c>
      <x:c r="B1174" s="33" t="str">
        <x:v>Leymah Gbowee</x:v>
      </x:c>
      <x:c r="C1174" s="35" t="n">
        <x:v>2011</x:v>
      </x:c>
      <x:c r="D1174" s="36" t="str">
        <x:v>2011</x:v>
      </x:c>
      <x:c r="E1174" s="36" t="str">
        <x:v>Person</x:v>
      </x:c>
      <x:c r="F1174" s="37" t="str">
        <x:v>Not established here</x:v>
      </x:c>
      <x:c r="G1174" s="33" t="str">
        <x:v>Not included in this affirmative shortlist. This is not a finding of non-genius.</x:v>
      </x:c>
      <x:c r="H1174" s="29" t="str">
        <x:v>Peace roster</x:v>
      </x:c>
    </x:row>
    <x:row r="1175" ht="36" customHeight="1">
      <x:c r="A1175" s="29" t="str">
        <x:v>Peace</x:v>
      </x:c>
      <x:c r="B1175" s="33" t="str">
        <x:v>Tawakkol Karman</x:v>
      </x:c>
      <x:c r="C1175" s="35" t="n">
        <x:v>2011</x:v>
      </x:c>
      <x:c r="D1175" s="36" t="str">
        <x:v>2011</x:v>
      </x:c>
      <x:c r="E1175" s="36" t="str">
        <x:v>Person</x:v>
      </x:c>
      <x:c r="F1175" s="37" t="str">
        <x:v>Not established here</x:v>
      </x:c>
      <x:c r="G1175" s="33" t="str">
        <x:v>Not included in this affirmative shortlist. This is not a finding of non-genius.</x:v>
      </x:c>
      <x:c r="H1175" s="29" t="str">
        <x:v>Peace roster</x:v>
      </x:c>
    </x:row>
    <x:row r="1176" ht="36" customHeight="1">
      <x:c r="A1176" s="29" t="str">
        <x:v>Peace</x:v>
      </x:c>
      <x:c r="B1176" s="33" t="str">
        <x:v>European Union</x:v>
      </x:c>
      <x:c r="C1176" s="35" t="n">
        <x:v>2012</x:v>
      </x:c>
      <x:c r="D1176" s="36" t="str">
        <x:v>2012</x:v>
      </x:c>
      <x:c r="E1176" s="36" t="str">
        <x:v>Organization</x:v>
      </x:c>
      <x:c r="F1176" s="37" t="str">
        <x:v>Not applicable</x:v>
      </x:c>
      <x:c r="G1176" s="33" t="str">
        <x:v>Organization: excluded from the person denominator.</x:v>
      </x:c>
      <x:c r="H1176" s="29" t="str">
        <x:v>Peace roster</x:v>
      </x:c>
    </x:row>
    <x:row r="1177" ht="36" customHeight="1">
      <x:c r="A1177" s="29" t="str">
        <x:v>Peace</x:v>
      </x:c>
      <x:c r="B1177" s="33" t="str">
        <x:v>Organisation for the Prohibition of Chemical Weapons</x:v>
      </x:c>
      <x:c r="C1177" s="35" t="n">
        <x:v>2013</x:v>
      </x:c>
      <x:c r="D1177" s="36" t="str">
        <x:v>2013</x:v>
      </x:c>
      <x:c r="E1177" s="36" t="str">
        <x:v>Organization</x:v>
      </x:c>
      <x:c r="F1177" s="37" t="str">
        <x:v>Not applicable</x:v>
      </x:c>
      <x:c r="G1177" s="33" t="str">
        <x:v>Organization: excluded from the person denominator.</x:v>
      </x:c>
      <x:c r="H1177" s="29" t="str">
        <x:v>Peace roster</x:v>
      </x:c>
    </x:row>
    <x:row r="1178" ht="36" customHeight="1">
      <x:c r="A1178" s="29" t="str">
        <x:v>Peace</x:v>
      </x:c>
      <x:c r="B1178" s="33" t="str">
        <x:v>Kailash Satyarthi</x:v>
      </x:c>
      <x:c r="C1178" s="35" t="n">
        <x:v>2014</x:v>
      </x:c>
      <x:c r="D1178" s="36" t="str">
        <x:v>2014</x:v>
      </x:c>
      <x:c r="E1178" s="36" t="str">
        <x:v>Person</x:v>
      </x:c>
      <x:c r="F1178" s="37" t="str">
        <x:v>Not established here</x:v>
      </x:c>
      <x:c r="G1178" s="33" t="str">
        <x:v>Not included in this affirmative shortlist. This is not a finding of non-genius.</x:v>
      </x:c>
      <x:c r="H1178" s="29" t="str">
        <x:v>Peace roster</x:v>
      </x:c>
    </x:row>
    <x:row r="1179" ht="36" customHeight="1">
      <x:c r="A1179" s="29" t="str">
        <x:v>Peace</x:v>
      </x:c>
      <x:c r="B1179" s="33" t="str">
        <x:v>Malala Yousafzai</x:v>
      </x:c>
      <x:c r="C1179" s="35" t="n">
        <x:v>2014</x:v>
      </x:c>
      <x:c r="D1179" s="36" t="str">
        <x:v>2014</x:v>
      </x:c>
      <x:c r="E1179" s="36" t="str">
        <x:v>Person</x:v>
      </x:c>
      <x:c r="F1179" s="37" t="str">
        <x:v>Not established here</x:v>
      </x:c>
      <x:c r="G1179" s="33" t="str">
        <x:v>Not included in this affirmative shortlist. This is not a finding of non-genius.</x:v>
      </x:c>
      <x:c r="H1179" s="29" t="str">
        <x:v>Peace roster</x:v>
      </x:c>
    </x:row>
    <x:row r="1180" ht="36" customHeight="1">
      <x:c r="A1180" s="29" t="str">
        <x:v>Peace</x:v>
      </x:c>
      <x:c r="B1180" s="33" t="str">
        <x:v>Tunisian National Dialogue Quartet</x:v>
      </x:c>
      <x:c r="C1180" s="35" t="n">
        <x:v>2015</x:v>
      </x:c>
      <x:c r="D1180" s="36" t="str">
        <x:v>2015</x:v>
      </x:c>
      <x:c r="E1180" s="36" t="str">
        <x:v>Organization</x:v>
      </x:c>
      <x:c r="F1180" s="37" t="str">
        <x:v>Not applicable</x:v>
      </x:c>
      <x:c r="G1180" s="33" t="str">
        <x:v>Organization: excluded from the person denominator.</x:v>
      </x:c>
      <x:c r="H1180" s="29" t="str">
        <x:v>Peace roster</x:v>
      </x:c>
    </x:row>
    <x:row r="1181" ht="36" customHeight="1">
      <x:c r="A1181" s="29" t="str">
        <x:v>Peace</x:v>
      </x:c>
      <x:c r="B1181" s="33" t="str">
        <x:v>Juan Manuel Santos</x:v>
      </x:c>
      <x:c r="C1181" s="35" t="n">
        <x:v>2016</x:v>
      </x:c>
      <x:c r="D1181" s="36" t="str">
        <x:v>2016</x:v>
      </x:c>
      <x:c r="E1181" s="36" t="str">
        <x:v>Person</x:v>
      </x:c>
      <x:c r="F1181" s="37" t="str">
        <x:v>Not established here</x:v>
      </x:c>
      <x:c r="G1181" s="33" t="str">
        <x:v>Not included in this affirmative shortlist. This is not a finding of non-genius.</x:v>
      </x:c>
      <x:c r="H1181" s="29" t="str">
        <x:v>Peace roster</x:v>
      </x:c>
    </x:row>
    <x:row r="1182" ht="36" customHeight="1">
      <x:c r="A1182" s="29" t="str">
        <x:v>Peace</x:v>
      </x:c>
      <x:c r="B1182" s="33" t="str">
        <x:v>International Campaign to Abolish Nuclear Weapons</x:v>
      </x:c>
      <x:c r="C1182" s="35" t="n">
        <x:v>2017</x:v>
      </x:c>
      <x:c r="D1182" s="36" t="str">
        <x:v>2017</x:v>
      </x:c>
      <x:c r="E1182" s="36" t="str">
        <x:v>Organization</x:v>
      </x:c>
      <x:c r="F1182" s="37" t="str">
        <x:v>Not applicable</x:v>
      </x:c>
      <x:c r="G1182" s="33" t="str">
        <x:v>Organization: excluded from the person denominator.</x:v>
      </x:c>
      <x:c r="H1182" s="29" t="str">
        <x:v>Peace roster</x:v>
      </x:c>
    </x:row>
    <x:row r="1183" ht="36" customHeight="1">
      <x:c r="A1183" s="29" t="str">
        <x:v>Peace</x:v>
      </x:c>
      <x:c r="B1183" s="33" t="str">
        <x:v>Denis Mukwege</x:v>
      </x:c>
      <x:c r="C1183" s="35" t="n">
        <x:v>2018</x:v>
      </x:c>
      <x:c r="D1183" s="36" t="str">
        <x:v>2018</x:v>
      </x:c>
      <x:c r="E1183" s="36" t="str">
        <x:v>Person</x:v>
      </x:c>
      <x:c r="F1183" s="37" t="str">
        <x:v>Not established here</x:v>
      </x:c>
      <x:c r="G1183" s="33" t="str">
        <x:v>Not included in this affirmative shortlist. This is not a finding of non-genius.</x:v>
      </x:c>
      <x:c r="H1183" s="29" t="str">
        <x:v>Peace roster</x:v>
      </x:c>
    </x:row>
    <x:row r="1184" ht="36" customHeight="1">
      <x:c r="A1184" s="29" t="str">
        <x:v>Peace</x:v>
      </x:c>
      <x:c r="B1184" s="33" t="str">
        <x:v>Nadia Murad</x:v>
      </x:c>
      <x:c r="C1184" s="35" t="n">
        <x:v>2018</x:v>
      </x:c>
      <x:c r="D1184" s="36" t="str">
        <x:v>2018</x:v>
      </x:c>
      <x:c r="E1184" s="36" t="str">
        <x:v>Person</x:v>
      </x:c>
      <x:c r="F1184" s="37" t="str">
        <x:v>Not established here</x:v>
      </x:c>
      <x:c r="G1184" s="33" t="str">
        <x:v>Not included in this affirmative shortlist. This is not a finding of non-genius.</x:v>
      </x:c>
      <x:c r="H1184" s="29" t="str">
        <x:v>Peace roster</x:v>
      </x:c>
    </x:row>
    <x:row r="1185" ht="36" customHeight="1">
      <x:c r="A1185" s="29" t="str">
        <x:v>Peace</x:v>
      </x:c>
      <x:c r="B1185" s="33" t="str">
        <x:v>Abiy Ahmed</x:v>
      </x:c>
      <x:c r="C1185" s="35" t="n">
        <x:v>2019</x:v>
      </x:c>
      <x:c r="D1185" s="36" t="str">
        <x:v>2019</x:v>
      </x:c>
      <x:c r="E1185" s="36" t="str">
        <x:v>Person</x:v>
      </x:c>
      <x:c r="F1185" s="37" t="str">
        <x:v>Not established here</x:v>
      </x:c>
      <x:c r="G1185" s="33" t="str">
        <x:v>Not included in this affirmative shortlist. This is not a finding of non-genius.</x:v>
      </x:c>
      <x:c r="H1185" s="29" t="str">
        <x:v>Peace roster</x:v>
      </x:c>
    </x:row>
    <x:row r="1186" ht="36" customHeight="1">
      <x:c r="A1186" s="29" t="str">
        <x:v>Peace</x:v>
      </x:c>
      <x:c r="B1186" s="33" t="str">
        <x:v>World Food Programme</x:v>
      </x:c>
      <x:c r="C1186" s="35" t="n">
        <x:v>2020</x:v>
      </x:c>
      <x:c r="D1186" s="36" t="str">
        <x:v>2020</x:v>
      </x:c>
      <x:c r="E1186" s="36" t="str">
        <x:v>Organization</x:v>
      </x:c>
      <x:c r="F1186" s="37" t="str">
        <x:v>Not applicable</x:v>
      </x:c>
      <x:c r="G1186" s="33" t="str">
        <x:v>Organization: excluded from the person denominator.</x:v>
      </x:c>
      <x:c r="H1186" s="29" t="str">
        <x:v>Peace roster</x:v>
      </x:c>
    </x:row>
    <x:row r="1187" ht="36" customHeight="1">
      <x:c r="A1187" s="29" t="str">
        <x:v>Peace</x:v>
      </x:c>
      <x:c r="B1187" s="33" t="str">
        <x:v>Dmitry Muratov</x:v>
      </x:c>
      <x:c r="C1187" s="35" t="n">
        <x:v>2021</x:v>
      </x:c>
      <x:c r="D1187" s="36" t="str">
        <x:v>2021</x:v>
      </x:c>
      <x:c r="E1187" s="36" t="str">
        <x:v>Person</x:v>
      </x:c>
      <x:c r="F1187" s="37" t="str">
        <x:v>Not established here</x:v>
      </x:c>
      <x:c r="G1187" s="33" t="str">
        <x:v>Not included in this affirmative shortlist. This is not a finding of non-genius.</x:v>
      </x:c>
      <x:c r="H1187" s="29" t="str">
        <x:v>Peace roster</x:v>
      </x:c>
    </x:row>
    <x:row r="1188" ht="36" customHeight="1">
      <x:c r="A1188" s="29" t="str">
        <x:v>Peace</x:v>
      </x:c>
      <x:c r="B1188" s="33" t="str">
        <x:v>Maria Ressa</x:v>
      </x:c>
      <x:c r="C1188" s="35" t="n">
        <x:v>2021</x:v>
      </x:c>
      <x:c r="D1188" s="36" t="str">
        <x:v>2021</x:v>
      </x:c>
      <x:c r="E1188" s="36" t="str">
        <x:v>Person</x:v>
      </x:c>
      <x:c r="F1188" s="37" t="str">
        <x:v>Not established here</x:v>
      </x:c>
      <x:c r="G1188" s="33" t="str">
        <x:v>Not included in this affirmative shortlist. This is not a finding of non-genius.</x:v>
      </x:c>
      <x:c r="H1188" s="29" t="str">
        <x:v>Peace roster</x:v>
      </x:c>
    </x:row>
    <x:row r="1189" ht="36" customHeight="1">
      <x:c r="A1189" s="29" t="str">
        <x:v>Peace</x:v>
      </x:c>
      <x:c r="B1189" s="33" t="str">
        <x:v>Ales Bialiatski</x:v>
      </x:c>
      <x:c r="C1189" s="35" t="n">
        <x:v>2022</x:v>
      </x:c>
      <x:c r="D1189" s="36" t="str">
        <x:v>2022</x:v>
      </x:c>
      <x:c r="E1189" s="36" t="str">
        <x:v>Person</x:v>
      </x:c>
      <x:c r="F1189" s="37" t="str">
        <x:v>Not established here</x:v>
      </x:c>
      <x:c r="G1189" s="33" t="str">
        <x:v>Not included in this affirmative shortlist. This is not a finding of non-genius.</x:v>
      </x:c>
      <x:c r="H1189" s="29" t="str">
        <x:v>Peace roster</x:v>
      </x:c>
    </x:row>
    <x:row r="1190" ht="36" customHeight="1">
      <x:c r="A1190" s="29" t="str">
        <x:v>Peace</x:v>
      </x:c>
      <x:c r="B1190" s="33" t="str">
        <x:v>Centre for Civil Liberties</x:v>
      </x:c>
      <x:c r="C1190" s="35" t="n">
        <x:v>2022</x:v>
      </x:c>
      <x:c r="D1190" s="36" t="str">
        <x:v>2022</x:v>
      </x:c>
      <x:c r="E1190" s="36" t="str">
        <x:v>Organization</x:v>
      </x:c>
      <x:c r="F1190" s="37" t="str">
        <x:v>Not applicable</x:v>
      </x:c>
      <x:c r="G1190" s="33" t="str">
        <x:v>Organization: excluded from the person denominator.</x:v>
      </x:c>
      <x:c r="H1190" s="29" t="str">
        <x:v>Peace roster</x:v>
      </x:c>
    </x:row>
    <x:row r="1191" ht="36" customHeight="1">
      <x:c r="A1191" s="29" t="str">
        <x:v>Peace</x:v>
      </x:c>
      <x:c r="B1191" s="33" t="str">
        <x:v>Memorial</x:v>
      </x:c>
      <x:c r="C1191" s="35" t="n">
        <x:v>2022</x:v>
      </x:c>
      <x:c r="D1191" s="36" t="str">
        <x:v>2022</x:v>
      </x:c>
      <x:c r="E1191" s="36" t="str">
        <x:v>Organization</x:v>
      </x:c>
      <x:c r="F1191" s="37" t="str">
        <x:v>Not applicable</x:v>
      </x:c>
      <x:c r="G1191" s="33" t="str">
        <x:v>Organization: excluded from the person denominator.</x:v>
      </x:c>
      <x:c r="H1191" s="29" t="str">
        <x:v>Peace roster</x:v>
      </x:c>
    </x:row>
    <x:row r="1192" ht="36" customHeight="1">
      <x:c r="A1192" s="29" t="str">
        <x:v>Peace</x:v>
      </x:c>
      <x:c r="B1192" s="33" t="str">
        <x:v>Narges Mohammadi</x:v>
      </x:c>
      <x:c r="C1192" s="35" t="n">
        <x:v>2023</x:v>
      </x:c>
      <x:c r="D1192" s="36" t="str">
        <x:v>2023</x:v>
      </x:c>
      <x:c r="E1192" s="36" t="str">
        <x:v>Person</x:v>
      </x:c>
      <x:c r="F1192" s="37" t="str">
        <x:v>Not established here</x:v>
      </x:c>
      <x:c r="G1192" s="33" t="str">
        <x:v>Not included in this affirmative shortlist. This is not a finding of non-genius.</x:v>
      </x:c>
      <x:c r="H1192" s="29" t="str">
        <x:v>Peace roster</x:v>
      </x:c>
    </x:row>
    <x:row r="1193" ht="36" customHeight="1">
      <x:c r="A1193" s="29" t="str">
        <x:v>Peace</x:v>
      </x:c>
      <x:c r="B1193" s="33" t="str">
        <x:v>Nihon Hidankyo</x:v>
      </x:c>
      <x:c r="C1193" s="35" t="n">
        <x:v>2024</x:v>
      </x:c>
      <x:c r="D1193" s="36" t="str">
        <x:v>2024</x:v>
      </x:c>
      <x:c r="E1193" s="36" t="str">
        <x:v>Organization</x:v>
      </x:c>
      <x:c r="F1193" s="37" t="str">
        <x:v>Not applicable</x:v>
      </x:c>
      <x:c r="G1193" s="33" t="str">
        <x:v>Organization: excluded from the person denominator.</x:v>
      </x:c>
      <x:c r="H1193" s="29" t="str">
        <x:v>Peace roster</x:v>
      </x:c>
    </x:row>
    <x:row r="1194" ht="36" customHeight="1">
      <x:c r="A1194" s="29" t="str">
        <x:v>Peace</x:v>
      </x:c>
      <x:c r="B1194" s="33" t="str">
        <x:v>María Corina Machado</x:v>
      </x:c>
      <x:c r="C1194" s="35" t="n">
        <x:v>2025</x:v>
      </x:c>
      <x:c r="D1194" s="36" t="str">
        <x:v>2025</x:v>
      </x:c>
      <x:c r="E1194" s="36" t="str">
        <x:v>Person</x:v>
      </x:c>
      <x:c r="F1194" s="37" t="str">
        <x:v>Not established here</x:v>
      </x:c>
      <x:c r="G1194" s="33" t="str">
        <x:v>Not included in this affirmative shortlist. This is not a finding of non-genius.</x:v>
      </x:c>
      <x:c r="H1194" s="29" t="str">
        <x:v>Peace roster</x:v>
      </x:c>
    </x:row>
  </x:sheetData>
  <x:conditionalFormatting sqref="F2:F1194">
    <x:cfRule type="containsText" dxfId="0" priority="1" operator="containsText" text="Clear"/>
  </x:conditionalFormatting>
  <x:dataValidations count="1">
    <x:dataValidation type="list" sqref="F2:F1194">
      <x:formula1>"Clear,Borderline,Not established here,Not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01427f1f584c09"/>
  </x:tableParts>
</x:worksheet>
</file>